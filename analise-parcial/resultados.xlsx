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lh\Área de Trabalho\Documents\EACH\6º Semestre\RP2\analise-parcial\"/>
    </mc:Choice>
  </mc:AlternateContent>
  <xr:revisionPtr revIDLastSave="0" documentId="13_ncr:1_{590EC7E1-D79D-47AB-8453-B40F708FB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  <sheet name="Analise Parcial" sheetId="2" r:id="rId2"/>
    <sheet name="Dados Human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D16" i="2"/>
  <c r="C16" i="2"/>
  <c r="B16" i="2"/>
  <c r="E15" i="2"/>
  <c r="D15" i="2"/>
  <c r="C15" i="2"/>
  <c r="B15" i="2"/>
  <c r="E14" i="2"/>
  <c r="D14" i="2"/>
  <c r="C14" i="2"/>
  <c r="B14" i="2"/>
  <c r="E9" i="2"/>
  <c r="E13" i="2" s="1"/>
  <c r="D9" i="2"/>
  <c r="D13" i="2" s="1"/>
  <c r="C9" i="2"/>
  <c r="C13" i="2" s="1"/>
  <c r="B9" i="2"/>
  <c r="B13" i="2" s="1"/>
  <c r="E8" i="2"/>
  <c r="E12" i="2" s="1"/>
  <c r="D8" i="2"/>
  <c r="D12" i="2" s="1"/>
  <c r="C8" i="2"/>
  <c r="C12" i="2" s="1"/>
  <c r="B8" i="2"/>
  <c r="B12" i="2" s="1"/>
  <c r="E7" i="2"/>
  <c r="E11" i="2" s="1"/>
  <c r="D7" i="2"/>
  <c r="D11" i="2" s="1"/>
  <c r="C7" i="2"/>
  <c r="C11" i="2" s="1"/>
  <c r="B7" i="2"/>
  <c r="B11" i="2" s="1"/>
  <c r="E6" i="2"/>
  <c r="E10" i="2" s="1"/>
  <c r="D6" i="2"/>
  <c r="D10" i="2" s="1"/>
  <c r="C6" i="2"/>
  <c r="C10" i="2" s="1"/>
  <c r="B6" i="2"/>
  <c r="B10" i="2" s="1"/>
  <c r="E3" i="2"/>
  <c r="D3" i="2"/>
  <c r="C3" i="2"/>
  <c r="B3" i="2"/>
  <c r="K2" i="2"/>
  <c r="J2" i="2"/>
  <c r="I2" i="2"/>
  <c r="H2" i="2"/>
  <c r="E2" i="2"/>
  <c r="E4" i="2" s="1"/>
  <c r="D2" i="2"/>
  <c r="D4" i="2" s="1"/>
  <c r="C2" i="2"/>
  <c r="C4" i="2" s="1"/>
  <c r="B2" i="2"/>
  <c r="B4" i="2" s="1"/>
  <c r="B5" i="2" l="1"/>
  <c r="C5" i="2"/>
  <c r="D5" i="2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000-000008000000}">
      <text>
        <r>
          <rPr>
            <sz val="10"/>
            <color rgb="FF000000"/>
            <rFont val="Arial"/>
            <scheme val="minor"/>
          </rPr>
          <t>Deepseek só consegue extrair texto de imagens e arquivos. não é capaz de analisar de verdade imagens
	-Bruno Correia</t>
        </r>
      </text>
    </comment>
    <comment ref="B10" authorId="0" shapeId="0" xr:uid="{00000000-0006-0000-0000-00000D000000}">
      <text>
        <r>
          <rPr>
            <sz val="10"/>
            <color rgb="FF000000"/>
            <rFont val="Arial"/>
            <scheme val="minor"/>
          </rPr>
          <t>Essa questão tem o  x̅ como caractere especial e o não consegui copiar. proponho adicionar manualamente
	-Bruno Correia</t>
        </r>
      </text>
    </comment>
    <comment ref="I10" authorId="0" shapeId="0" xr:uid="{00000000-0006-0000-0000-00000C000000}">
      <text>
        <r>
          <rPr>
            <sz val="10"/>
            <color rgb="FF000000"/>
            <rFont val="Arial"/>
            <scheme val="minor"/>
          </rPr>
          <t>No seu enunciado:
A) f(X,Y,Z)=X+Yf(X,Y,Z)=X+Y
C) f(X,Y,Z)=X+Yf(X,Y,Z)=X+Y (provavelmente repetida)
Então, tanto A quanto C estão corretas, mas devemos escolher uma. Como a A é listada primeiro, e é a mesma, podemos marcar A.
Logo, a alternativa correta é A.
	-Bruno Correia</t>
        </r>
      </text>
    </comment>
    <comment ref="B15" authorId="0" shapeId="0" xr:uid="{00000000-0006-0000-0000-00000B000000}">
      <text>
        <r>
          <rPr>
            <sz val="10"/>
            <color rgb="FF000000"/>
            <rFont val="Arial"/>
            <scheme val="minor"/>
          </rPr>
          <t>Caractere especial, não copiou
	-Bruno Correia</t>
        </r>
      </text>
    </comment>
    <comment ref="I15" authorId="0" shapeId="0" xr:uid="{00000000-0006-0000-0000-00000A000000}">
      <text>
        <r>
          <rPr>
            <sz val="10"/>
            <color rgb="FF000000"/>
            <rFont val="Arial"/>
            <scheme val="minor"/>
          </rPr>
          <t>Conclusão: A identidade correta para C+(D⋅E)C+(D⋅E) é (C+D)⋅(C+E)(C+D)⋅(C+E). Portanto, considerando que a expressão na questão possa ter sido digitada incorretamente, a alternativa correta é a E.
Resposta: E) (C+D)⋅(C+E)(C+D)⋅(C+E)
	-Bruno Correia</t>
        </r>
      </text>
    </comment>
    <comment ref="B41" authorId="0" shapeId="0" xr:uid="{00000000-0006-0000-0000-000009000000}">
      <text>
        <r>
          <rPr>
            <sz val="10"/>
            <color rgb="FF000000"/>
            <rFont val="Arial"/>
            <scheme val="minor"/>
          </rPr>
          <t>Problema na hora de copiar e colar o enunciado da questão
	-Bruno Correia</t>
        </r>
      </text>
    </comment>
    <comment ref="B43" authorId="0" shapeId="0" xr:uid="{00000000-0006-0000-0000-000007000000}">
      <text>
        <r>
          <rPr>
            <sz val="10"/>
            <color rgb="FF000000"/>
            <rFont val="Arial"/>
            <scheme val="minor"/>
          </rPr>
          <t>caractere especial nao foi no copiar e colar
	-Bruno Correia</t>
        </r>
      </text>
    </comment>
    <comment ref="I43" authorId="0" shapeId="0" xr:uid="{00000000-0006-0000-0000-000006000000}">
      <text>
        <r>
          <rPr>
            <sz val="10"/>
            <color rgb="FF000000"/>
            <rFont val="Arial"/>
            <scheme val="minor"/>
          </rPr>
          <t>Sem o diagrama exato, não é possível determinar qual é a correta. No entanto, como a questão pede a expressão simplificada equivalente, e considerando que o circuito possa ser simples, talvez a resposta seja uma das acima.
Dado que a questão é objetiva e as opções são similares, é provável que o circuito tenha uma combinação específica. Se eu tivesse que chutar baseado na lógica comum, talvez a alternativa A) S = \bar{A} B C seja uma poss comum, mas não tenho certeza.
	-Bruno Correia</t>
        </r>
      </text>
    </comment>
    <comment ref="B48" authorId="0" shapeId="0" xr:uid="{00000000-0006-0000-0000-000005000000}">
      <text>
        <r>
          <rPr>
            <sz val="10"/>
            <color rgb="FF000000"/>
            <rFont val="Arial"/>
            <scheme val="minor"/>
          </rPr>
          <t>não foi possivel copiar exatamente o texto do enunciado devido ao caracter
	-Bruno Correia</t>
        </r>
      </text>
    </comment>
    <comment ref="I48" authorId="0" shapeId="0" xr:uid="{00000000-0006-0000-0000-000004000000}">
      <text>
        <r>
          <rPr>
            <sz val="10"/>
            <color rgb="FF000000"/>
            <rFont val="Arial"/>
            <scheme val="minor"/>
          </rPr>
          <t>Conclusão:
A expressão lógica é 
S
=
A
⊕
B
⊕
C
S=A⊕B⊕C.
Assim, assinale qualquer uma de B a E, mas como são idênticas, provavelmente a questão pretende que seja essa.
No entanto, verifique se há diferença nas alternativas. No seu texto, todas B, C, D, E estão iguais, o que deve ser um erro. Mas a correta é 
S
=
A
⊕
B
⊕
C
S=A⊕B⊕C.
Logo, a alternativa correta é qualquer uma que esteja escrita como 
S
=
A
⊕
B
⊕
C
S=A⊕B⊕C.
Como não há distinção, a resposta é a que tem o XOR.
Resposta final:
B
B
(ou C, D, E, mas como são iguais, escolha B, por exemplo).
	-Bruno Correia</t>
        </r>
      </text>
    </comment>
    <comment ref="F50" authorId="0" shapeId="0" xr:uid="{00000000-0006-0000-0000-000002000000}">
      <text>
        <r>
          <rPr>
            <sz val="10"/>
            <color rgb="FF000000"/>
            <rFont val="Arial"/>
            <scheme val="minor"/>
          </rPr>
          <t>Beleza, vamos resolver a **Questão 49** passo a passo.
---
### 1. Estrutura do endereço virtual
O endereço virtual de **32 bits** está dividido em:
* **10 bits** → primeiro nível da tabela (page directory)
* **8 bits** → segundo nível da tabela
* **6 bits** → terceiro nível da tabela
* **8 bits** → deslocamento dentro da página (**tamanho da página**)
🔹 Portanto:
* **Tamanho da página = 2⁸ = 256 bytes**.
---
### 2. Tamanho do processo
O processo tem **256K de memória = 256 × 1024 = 262144 bytes**.
Número de páginas necessárias:
$$
\text{número de páginas} = \frac{262144}{256} = 1024 \, \text{páginas}
$$
---
### 3. Organização da tabela de páginas
* Primeiro nível (10 bits) → até **1024 entradas possíveis**.
* Segundo nível (8 bits) → cada entrada aponta para até **256 páginas**.
* Terceiro nível (6 bits) → cada entrada aponta para até **64 páginas**.
---
### 4. Quantos níveis realmente usados?
Precisamos mapear **1024 páginas**:
* Cada **tabela de terceiro nível** (6 bits) cobre **64 páginas**.
* Logo, número de tabelas de 3º nível necessárias:
$$
\frac{1024}{64} = 16
$$
* Cada **tabela de segundo nível** pode apontar para até 256 tabelas de 3º nível.
* Precisamos só de **1 tabela de segundo nível**, porque ela comporta os 16 apontadores.
* Cada **tabela de primeiro nível** cobre até $ 256 \times 64 = 16384$ páginas.
* Como só precisamos de **1024 páginas**, basta **1 tabela de primeiro nível**.
---
### 5. Tamanho das tabelas
Assumindo que cada entrada tem **4 bytes** (endereço de página típico):
* **Tabela de 1º nível**: $1024 \times 4 = 4096$ bytes
* **Tabela de 2º nível**: $256 \times 4 = 1024$ bytes
* **Tabelas de 3º nível**: $16 \times (64 \times 4) = 16 \times 256 = 4096$ bytes
---
### 6. Total
$$
4096 + 1024 + 4096 = 9216 \, \text{bytes}
$$
Mas essa resposta **não está entre as alternativas**. 🤔
---
### 7. Ajuste da interpretação
Note que a questão fala em **"tamanho da tabela de páginas
	-Guilherme Santos</t>
        </r>
      </text>
    </comment>
    <comment ref="I50" authorId="0" shapeId="0" xr:uid="{00000000-0006-0000-0000-000003000000}">
      <text>
        <r>
          <rPr>
            <sz val="10"/>
            <color rgb="FF000000"/>
            <rFont val="Arial"/>
            <scheme val="minor"/>
          </rPr>
          <t>entrou em um loop infinito e começou a falar em ingles
	-Bruno Correia</t>
        </r>
      </text>
    </comment>
    <comment ref="F63" authorId="0" shapeId="0" xr:uid="{00000000-0006-0000-0000-000001000000}">
      <text>
        <r>
          <rPr>
            <sz val="10"/>
            <color rgb="FF000000"/>
            <rFont val="Arial"/>
            <scheme val="minor"/>
          </rPr>
          <t>Vamos analisar as alternativas com base nos **tipos de transparência em sistemas distribuídos**:
* **Transparência de acesso** → o usuário não precisa saber como acessar o recurso nem se está remoto ou local (oculta diferenças de representação de dados e de interfaces).
* **Transparência de localização (ou relocação)** → o usuário não sabe onde o recurso está fisicamente, podendo ser movido sem afetar o acesso.
* **Transparência de concorrência** → múltiplos usuários podem acessar recursos simultaneamente sem interferência.
* **Transparência de replicação** → oculta que existem múltiplas cópias de um recurso.
* **Transparência de migração** → recursos ou processos podem se mover de uma máquina para outra, mesmo em uso, sem impacto para o usuário.
Agora, avaliando as opções:
**A)** Incorreta → essa descrição é de **transparência de acesso**, não de concorrência.
**B)** Correta → descreve precisamente a **transparência de migração**.
**C)** Correta também → é a definição exata da **transparência de replicação**.
**D)** Correta → é a definição de **transparência de relocação** (localização).
**E)** Incorreta → essa é a definição de **transparência de localização**, não de acesso.
👉 A questão pede **a correta** (no singular). Nesse caso, a alternativa mais precisa e sem ambiguidades é:
**Resposta: B) Transparência de migração é a situação na qual recursos podem ser relocados enquanto estão sendo acessados, sem que o usuário ou a aplicação percebam.** ✅
Quer que eu monte um **quadro resumo comparativo** de todos os tipos de transparência para facilitar revisões rápidas?
	-Guilherme Santos</t>
        </r>
      </text>
    </comment>
  </commentList>
</comments>
</file>

<file path=xl/sharedStrings.xml><?xml version="1.0" encoding="utf-8"?>
<sst xmlns="http://schemas.openxmlformats.org/spreadsheetml/2006/main" count="885" uniqueCount="68">
  <si>
    <t>ID</t>
  </si>
  <si>
    <t xml:space="preserve">Questão </t>
  </si>
  <si>
    <t>Gabarito</t>
  </si>
  <si>
    <t>Assunto</t>
  </si>
  <si>
    <t>Ano</t>
  </si>
  <si>
    <t>GPT 5</t>
  </si>
  <si>
    <t>Gemini</t>
  </si>
  <si>
    <t>Claude Sonnet 4</t>
  </si>
  <si>
    <t>Deepseek v3.1</t>
  </si>
  <si>
    <t>Contem Imagem</t>
  </si>
  <si>
    <t>Contem Formula</t>
  </si>
  <si>
    <t>Contem Tabela</t>
  </si>
  <si>
    <t>Contem Codigo</t>
  </si>
  <si>
    <t>A</t>
  </si>
  <si>
    <t>Álgebra Linear</t>
  </si>
  <si>
    <t>B</t>
  </si>
  <si>
    <t>D</t>
  </si>
  <si>
    <t>Geometria Analítica</t>
  </si>
  <si>
    <t>E</t>
  </si>
  <si>
    <t>Matemática Discreta</t>
  </si>
  <si>
    <t>C</t>
  </si>
  <si>
    <t>Lógica Matemática</t>
  </si>
  <si>
    <t>Análise Combinatória</t>
  </si>
  <si>
    <t xml:space="preserve">E </t>
  </si>
  <si>
    <t>Análise de Algoritmos</t>
  </si>
  <si>
    <t>Linguagens de Programação</t>
  </si>
  <si>
    <t>*</t>
  </si>
  <si>
    <t>Técnicas de Programação</t>
  </si>
  <si>
    <t>Teoria dos Grafos</t>
  </si>
  <si>
    <t>Circuitos Digitais</t>
  </si>
  <si>
    <t>Sistemas Operacionais</t>
  </si>
  <si>
    <t>Banco de Dados</t>
  </si>
  <si>
    <t>Engenharia de Software</t>
  </si>
  <si>
    <t>Redes de Computadores</t>
  </si>
  <si>
    <t>Computação Gráfica</t>
  </si>
  <si>
    <t>Processamento de Imagens</t>
  </si>
  <si>
    <t>Sistemas Distribuídos</t>
  </si>
  <si>
    <t>Compiladores</t>
  </si>
  <si>
    <t>Inteligência Artificial</t>
  </si>
  <si>
    <t>Cálculo Diferencial e Integral</t>
  </si>
  <si>
    <t>Probabilidade e Estatística</t>
  </si>
  <si>
    <t>Algoritmos e Estrutura de Dados</t>
  </si>
  <si>
    <t>Organização de Arquivos e Dados</t>
  </si>
  <si>
    <t>Linguagens Formais, Autômatos e Computabilidade</t>
  </si>
  <si>
    <t>Arquitetura e Organização de Computadores</t>
  </si>
  <si>
    <t>Matemática</t>
  </si>
  <si>
    <t>Fundamentos da Computação</t>
  </si>
  <si>
    <t>Tecnologia de Computadores</t>
  </si>
  <si>
    <t>Tecnologia de Computação</t>
  </si>
  <si>
    <t>C/ Imagem</t>
  </si>
  <si>
    <t>C/ Formula</t>
  </si>
  <si>
    <t>C/ Tabela</t>
  </si>
  <si>
    <t>C/ Codigo</t>
  </si>
  <si>
    <t>Acertos</t>
  </si>
  <si>
    <t>Total</t>
  </si>
  <si>
    <t>Erros</t>
  </si>
  <si>
    <t>Taxa de Acerto</t>
  </si>
  <si>
    <t>Acertos com Imagem</t>
  </si>
  <si>
    <t>Acertos com Formula</t>
  </si>
  <si>
    <t>Acertos com Tabela</t>
  </si>
  <si>
    <t>Acertos com Codigo</t>
  </si>
  <si>
    <t>% Imagem</t>
  </si>
  <si>
    <t>%Formula</t>
  </si>
  <si>
    <t>% Tabela</t>
  </si>
  <si>
    <t>% Codigo</t>
  </si>
  <si>
    <t>Desempenho Matematica</t>
  </si>
  <si>
    <t>Desempenho Fundamentos Computação</t>
  </si>
  <si>
    <t>Desempenho Tecnologia Computação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</si>
</sst>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&quot;Google Sans Mono&quot;"/>
    </font>
    <font>
      <sz val="11"/>
      <color rgb="FF1F1F1F"/>
      <name val="&quot;Google Sans&quot;"/>
    </font>
    <font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left"/>
    </xf>
    <xf numFmtId="0" fontId="2" fillId="4" borderId="0" xfId="0" applyFont="1" applyFill="1"/>
    <xf numFmtId="0" fontId="1" fillId="4" borderId="0" xfId="0" applyFont="1" applyFill="1"/>
    <xf numFmtId="10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2">
    <dxf>
      <font>
        <color rgb="FF000000"/>
      </font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ySplit="1" topLeftCell="A48" activePane="bottomLeft" state="frozen"/>
      <selection pane="bottomLeft" activeCell="D52" sqref="D52:D71"/>
    </sheetView>
  </sheetViews>
  <sheetFormatPr defaultColWidth="12.6640625" defaultRowHeight="15.75" customHeight="1"/>
  <cols>
    <col min="4" max="4" width="38.6640625" customWidth="1"/>
    <col min="10" max="11" width="13.332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15.75" customHeight="1">
      <c r="A2" s="2">
        <v>1</v>
      </c>
      <c r="B2" s="2">
        <v>1</v>
      </c>
      <c r="C2" s="2" t="s">
        <v>13</v>
      </c>
      <c r="D2" s="2" t="s">
        <v>45</v>
      </c>
      <c r="E2" s="1">
        <v>2019</v>
      </c>
      <c r="F2" s="1" t="s">
        <v>13</v>
      </c>
      <c r="G2" s="1" t="s">
        <v>13</v>
      </c>
      <c r="H2" s="1" t="s">
        <v>13</v>
      </c>
      <c r="I2" s="1" t="s">
        <v>13</v>
      </c>
      <c r="J2" s="1">
        <v>0</v>
      </c>
      <c r="K2" s="1">
        <v>1</v>
      </c>
      <c r="L2" s="1">
        <v>0</v>
      </c>
      <c r="M2" s="1">
        <v>0</v>
      </c>
      <c r="O2" s="3"/>
    </row>
    <row r="3" spans="1:15" ht="15.75" customHeight="1">
      <c r="A3" s="2">
        <v>2</v>
      </c>
      <c r="B3" s="2">
        <v>2</v>
      </c>
      <c r="C3" s="2" t="s">
        <v>15</v>
      </c>
      <c r="D3" s="2" t="s">
        <v>45</v>
      </c>
      <c r="E3" s="1">
        <v>2019</v>
      </c>
      <c r="F3" s="1" t="s">
        <v>15</v>
      </c>
      <c r="G3" s="1" t="s">
        <v>15</v>
      </c>
      <c r="H3" s="1" t="s">
        <v>15</v>
      </c>
      <c r="I3" s="1" t="s">
        <v>15</v>
      </c>
      <c r="J3" s="1">
        <v>0</v>
      </c>
      <c r="K3" s="1">
        <v>1</v>
      </c>
      <c r="L3" s="1">
        <v>0</v>
      </c>
      <c r="M3" s="1">
        <v>0</v>
      </c>
      <c r="O3" s="3"/>
    </row>
    <row r="4" spans="1:15" ht="15.75" customHeight="1">
      <c r="A4" s="2">
        <v>3</v>
      </c>
      <c r="B4" s="2">
        <v>3</v>
      </c>
      <c r="C4" s="2" t="s">
        <v>16</v>
      </c>
      <c r="D4" s="2" t="s">
        <v>45</v>
      </c>
      <c r="E4" s="1">
        <v>2019</v>
      </c>
      <c r="F4" s="1" t="s">
        <v>16</v>
      </c>
      <c r="G4" s="1" t="s">
        <v>16</v>
      </c>
      <c r="H4" s="1" t="s">
        <v>16</v>
      </c>
      <c r="I4" s="1" t="s">
        <v>16</v>
      </c>
      <c r="J4" s="1">
        <v>0</v>
      </c>
      <c r="K4" s="1">
        <v>1</v>
      </c>
      <c r="L4" s="1">
        <v>0</v>
      </c>
      <c r="M4" s="1">
        <v>0</v>
      </c>
      <c r="O4" s="4"/>
    </row>
    <row r="5" spans="1:15" ht="15.75" customHeight="1">
      <c r="A5" s="2">
        <v>4</v>
      </c>
      <c r="B5" s="2">
        <v>4</v>
      </c>
      <c r="C5" s="2" t="s">
        <v>18</v>
      </c>
      <c r="D5" s="2" t="s">
        <v>45</v>
      </c>
      <c r="E5" s="1">
        <v>2019</v>
      </c>
      <c r="F5" s="1" t="s">
        <v>18</v>
      </c>
      <c r="G5" s="1" t="s">
        <v>18</v>
      </c>
      <c r="H5" s="1" t="s">
        <v>18</v>
      </c>
      <c r="I5" s="1" t="s">
        <v>18</v>
      </c>
      <c r="J5" s="1">
        <v>0</v>
      </c>
      <c r="K5" s="1">
        <v>1</v>
      </c>
      <c r="L5" s="1">
        <v>0</v>
      </c>
      <c r="M5" s="1">
        <v>0</v>
      </c>
    </row>
    <row r="6" spans="1:15" ht="15.75" customHeight="1">
      <c r="A6" s="2">
        <v>5</v>
      </c>
      <c r="B6" s="2">
        <v>5</v>
      </c>
      <c r="C6" s="2" t="s">
        <v>18</v>
      </c>
      <c r="D6" s="2" t="s">
        <v>45</v>
      </c>
      <c r="E6" s="1">
        <v>2019</v>
      </c>
      <c r="F6" s="1" t="s">
        <v>18</v>
      </c>
      <c r="G6" s="1" t="s">
        <v>18</v>
      </c>
      <c r="H6" s="1" t="s">
        <v>18</v>
      </c>
      <c r="I6" s="1" t="s">
        <v>18</v>
      </c>
      <c r="J6" s="1">
        <v>0</v>
      </c>
      <c r="K6" s="1">
        <v>1</v>
      </c>
      <c r="L6" s="1">
        <v>0</v>
      </c>
      <c r="M6" s="1">
        <v>0</v>
      </c>
    </row>
    <row r="7" spans="1:15" ht="15.75" customHeight="1">
      <c r="A7" s="2">
        <v>6</v>
      </c>
      <c r="B7" s="2">
        <v>6</v>
      </c>
      <c r="C7" s="2" t="s">
        <v>15</v>
      </c>
      <c r="D7" s="2" t="s">
        <v>45</v>
      </c>
      <c r="E7" s="1">
        <v>2019</v>
      </c>
      <c r="F7" s="1" t="s">
        <v>15</v>
      </c>
      <c r="G7" s="1" t="s">
        <v>15</v>
      </c>
      <c r="H7" s="1" t="s">
        <v>15</v>
      </c>
      <c r="I7" s="1" t="s">
        <v>15</v>
      </c>
      <c r="J7" s="1">
        <v>0</v>
      </c>
      <c r="K7" s="1">
        <v>1</v>
      </c>
      <c r="L7" s="1">
        <v>0</v>
      </c>
      <c r="M7" s="1">
        <v>0</v>
      </c>
    </row>
    <row r="8" spans="1:15" ht="15.75" customHeight="1">
      <c r="A8" s="2">
        <v>7</v>
      </c>
      <c r="B8" s="2">
        <v>7</v>
      </c>
      <c r="C8" s="2" t="s">
        <v>16</v>
      </c>
      <c r="D8" s="2" t="s">
        <v>45</v>
      </c>
      <c r="E8" s="1">
        <v>2019</v>
      </c>
      <c r="F8" s="1" t="s">
        <v>16</v>
      </c>
      <c r="G8" s="1" t="s">
        <v>16</v>
      </c>
      <c r="H8" s="1" t="s">
        <v>16</v>
      </c>
      <c r="I8" s="1" t="s">
        <v>16</v>
      </c>
      <c r="J8" s="1">
        <v>0</v>
      </c>
      <c r="K8" s="1">
        <v>1</v>
      </c>
      <c r="L8" s="1">
        <v>0</v>
      </c>
      <c r="M8" s="1">
        <v>0</v>
      </c>
    </row>
    <row r="9" spans="1:15" ht="15.75" customHeight="1">
      <c r="A9" s="2">
        <v>8</v>
      </c>
      <c r="B9" s="2">
        <v>8</v>
      </c>
      <c r="C9" s="2" t="s">
        <v>13</v>
      </c>
      <c r="D9" s="2" t="s">
        <v>45</v>
      </c>
      <c r="E9" s="1">
        <v>2019</v>
      </c>
      <c r="F9" s="1" t="s">
        <v>13</v>
      </c>
      <c r="G9" s="1" t="s">
        <v>13</v>
      </c>
      <c r="H9" s="1" t="s">
        <v>13</v>
      </c>
      <c r="I9" s="1" t="s">
        <v>13</v>
      </c>
      <c r="J9" s="1">
        <v>0</v>
      </c>
      <c r="K9" s="1">
        <v>1</v>
      </c>
      <c r="L9" s="1">
        <v>0</v>
      </c>
      <c r="M9" s="1">
        <v>0</v>
      </c>
    </row>
    <row r="10" spans="1:15" ht="15.75" customHeight="1">
      <c r="A10" s="2">
        <v>9</v>
      </c>
      <c r="B10" s="2">
        <v>9</v>
      </c>
      <c r="C10" s="2" t="s">
        <v>13</v>
      </c>
      <c r="D10" s="2" t="s">
        <v>45</v>
      </c>
      <c r="E10" s="1">
        <v>2019</v>
      </c>
      <c r="F10" s="1" t="s">
        <v>13</v>
      </c>
      <c r="G10" s="1" t="s">
        <v>20</v>
      </c>
      <c r="H10" s="1" t="s">
        <v>13</v>
      </c>
      <c r="I10" s="1" t="s">
        <v>13</v>
      </c>
      <c r="J10" s="1">
        <v>0</v>
      </c>
      <c r="K10" s="1">
        <v>1</v>
      </c>
      <c r="L10" s="1">
        <v>0</v>
      </c>
      <c r="M10" s="1">
        <v>0</v>
      </c>
    </row>
    <row r="11" spans="1:15" ht="15.75" customHeight="1">
      <c r="A11" s="2">
        <v>10</v>
      </c>
      <c r="B11" s="2">
        <v>10</v>
      </c>
      <c r="C11" s="2" t="s">
        <v>20</v>
      </c>
      <c r="D11" s="2" t="s">
        <v>45</v>
      </c>
      <c r="E11" s="1">
        <v>2019</v>
      </c>
      <c r="F11" s="1" t="s">
        <v>20</v>
      </c>
      <c r="G11" s="1" t="s">
        <v>20</v>
      </c>
      <c r="H11" s="1" t="s">
        <v>20</v>
      </c>
      <c r="I11" s="1" t="s">
        <v>20</v>
      </c>
      <c r="J11" s="1">
        <v>0</v>
      </c>
      <c r="K11" s="1">
        <v>1</v>
      </c>
      <c r="L11" s="1">
        <v>0</v>
      </c>
      <c r="M11" s="1">
        <v>0</v>
      </c>
    </row>
    <row r="12" spans="1:15" ht="15.75" customHeight="1">
      <c r="A12" s="2">
        <v>11</v>
      </c>
      <c r="B12" s="2">
        <v>11</v>
      </c>
      <c r="C12" s="2" t="s">
        <v>20</v>
      </c>
      <c r="D12" s="2" t="s">
        <v>45</v>
      </c>
      <c r="E12" s="1">
        <v>2019</v>
      </c>
      <c r="F12" s="1" t="s">
        <v>20</v>
      </c>
      <c r="G12" s="1" t="s">
        <v>20</v>
      </c>
      <c r="H12" s="1" t="s">
        <v>20</v>
      </c>
      <c r="I12" s="1" t="s">
        <v>20</v>
      </c>
      <c r="J12" s="1">
        <v>0</v>
      </c>
      <c r="K12" s="1">
        <v>0</v>
      </c>
      <c r="L12" s="1">
        <v>0</v>
      </c>
      <c r="M12" s="1">
        <v>0</v>
      </c>
    </row>
    <row r="13" spans="1:15" ht="15.75" customHeight="1">
      <c r="A13" s="2">
        <v>12</v>
      </c>
      <c r="B13" s="2">
        <v>12</v>
      </c>
      <c r="C13" s="2" t="s">
        <v>15</v>
      </c>
      <c r="D13" s="2" t="s">
        <v>45</v>
      </c>
      <c r="E13" s="1">
        <v>2019</v>
      </c>
      <c r="F13" s="1" t="s">
        <v>15</v>
      </c>
      <c r="G13" s="1" t="s">
        <v>15</v>
      </c>
      <c r="H13" s="1" t="s">
        <v>15</v>
      </c>
      <c r="I13" s="1" t="s">
        <v>15</v>
      </c>
      <c r="J13" s="1">
        <v>0</v>
      </c>
      <c r="K13" s="1">
        <v>0</v>
      </c>
      <c r="L13" s="1">
        <v>0</v>
      </c>
      <c r="M13" s="1">
        <v>0</v>
      </c>
    </row>
    <row r="14" spans="1:15" ht="15.75" customHeight="1">
      <c r="A14" s="2">
        <v>13</v>
      </c>
      <c r="B14" s="2">
        <v>13</v>
      </c>
      <c r="C14" s="2" t="s">
        <v>20</v>
      </c>
      <c r="D14" s="2" t="s">
        <v>45</v>
      </c>
      <c r="E14" s="1">
        <v>2019</v>
      </c>
      <c r="F14" s="1" t="s">
        <v>20</v>
      </c>
      <c r="G14" s="1" t="s">
        <v>20</v>
      </c>
      <c r="H14" s="1" t="s">
        <v>20</v>
      </c>
      <c r="I14" s="1" t="s">
        <v>20</v>
      </c>
      <c r="J14" s="1">
        <v>0</v>
      </c>
      <c r="K14" s="1">
        <v>0</v>
      </c>
      <c r="L14" s="1">
        <v>0</v>
      </c>
      <c r="M14" s="1">
        <v>0</v>
      </c>
    </row>
    <row r="15" spans="1:15" ht="15.75" customHeight="1">
      <c r="A15" s="2">
        <v>14</v>
      </c>
      <c r="B15" s="2">
        <v>14</v>
      </c>
      <c r="C15" s="2" t="s">
        <v>18</v>
      </c>
      <c r="D15" s="2" t="s">
        <v>45</v>
      </c>
      <c r="E15" s="1">
        <v>2019</v>
      </c>
      <c r="F15" s="1" t="s">
        <v>16</v>
      </c>
      <c r="G15" s="1" t="s">
        <v>13</v>
      </c>
      <c r="H15" s="1" t="s">
        <v>18</v>
      </c>
      <c r="I15" s="1" t="s">
        <v>18</v>
      </c>
      <c r="J15" s="1">
        <v>0</v>
      </c>
      <c r="K15" s="1">
        <v>0</v>
      </c>
      <c r="L15" s="1">
        <v>0</v>
      </c>
      <c r="M15" s="1">
        <v>0</v>
      </c>
    </row>
    <row r="16" spans="1:15" ht="15.75" customHeight="1">
      <c r="A16" s="2">
        <v>15</v>
      </c>
      <c r="B16" s="2">
        <v>15</v>
      </c>
      <c r="C16" s="2" t="s">
        <v>15</v>
      </c>
      <c r="D16" s="2" t="s">
        <v>45</v>
      </c>
      <c r="E16" s="1">
        <v>2019</v>
      </c>
      <c r="F16" s="1" t="s">
        <v>15</v>
      </c>
      <c r="G16" s="1" t="s">
        <v>23</v>
      </c>
      <c r="H16" s="1" t="s">
        <v>15</v>
      </c>
      <c r="I16" s="1" t="s">
        <v>15</v>
      </c>
      <c r="J16" s="1">
        <v>0</v>
      </c>
      <c r="K16" s="1">
        <v>1</v>
      </c>
      <c r="L16" s="1">
        <v>0</v>
      </c>
      <c r="M16" s="1">
        <v>0</v>
      </c>
    </row>
    <row r="17" spans="1:28" ht="15.75" customHeight="1">
      <c r="A17" s="2">
        <v>16</v>
      </c>
      <c r="B17" s="2">
        <v>16</v>
      </c>
      <c r="C17" s="2" t="s">
        <v>15</v>
      </c>
      <c r="D17" s="2" t="s">
        <v>45</v>
      </c>
      <c r="E17" s="1">
        <v>2019</v>
      </c>
      <c r="F17" s="1" t="s">
        <v>15</v>
      </c>
      <c r="G17" s="1" t="s">
        <v>15</v>
      </c>
      <c r="H17" s="1" t="s">
        <v>15</v>
      </c>
      <c r="I17" s="1" t="s">
        <v>15</v>
      </c>
      <c r="J17" s="1">
        <v>0</v>
      </c>
      <c r="K17" s="1">
        <v>0</v>
      </c>
      <c r="L17" s="1">
        <v>0</v>
      </c>
      <c r="M17" s="1">
        <v>0</v>
      </c>
    </row>
    <row r="18" spans="1:28" ht="15.75" customHeight="1">
      <c r="A18" s="2">
        <v>17</v>
      </c>
      <c r="B18" s="2">
        <v>17</v>
      </c>
      <c r="C18" s="2" t="s">
        <v>20</v>
      </c>
      <c r="D18" s="2" t="s">
        <v>45</v>
      </c>
      <c r="E18" s="1">
        <v>2019</v>
      </c>
      <c r="F18" s="1" t="s">
        <v>20</v>
      </c>
      <c r="G18" s="1" t="s">
        <v>20</v>
      </c>
      <c r="H18" s="1" t="s">
        <v>20</v>
      </c>
      <c r="I18" s="1" t="s">
        <v>20</v>
      </c>
      <c r="J18" s="1">
        <v>0</v>
      </c>
      <c r="K18" s="1">
        <v>0</v>
      </c>
      <c r="L18" s="1">
        <v>0</v>
      </c>
      <c r="M18" s="1">
        <v>0</v>
      </c>
    </row>
    <row r="19" spans="1:28" ht="15.75" customHeight="1">
      <c r="A19" s="2">
        <v>18</v>
      </c>
      <c r="B19" s="2">
        <v>18</v>
      </c>
      <c r="C19" s="2" t="s">
        <v>13</v>
      </c>
      <c r="D19" s="2" t="s">
        <v>45</v>
      </c>
      <c r="E19" s="1">
        <v>2019</v>
      </c>
      <c r="F19" s="1" t="s">
        <v>13</v>
      </c>
      <c r="G19" s="1" t="s">
        <v>13</v>
      </c>
      <c r="H19" s="1" t="s">
        <v>13</v>
      </c>
      <c r="I19" s="1" t="s">
        <v>13</v>
      </c>
      <c r="J19" s="1">
        <v>0</v>
      </c>
      <c r="K19" s="1">
        <v>1</v>
      </c>
      <c r="L19" s="1">
        <v>1</v>
      </c>
      <c r="M19" s="1">
        <v>0</v>
      </c>
    </row>
    <row r="20" spans="1:28" ht="15.75" customHeight="1">
      <c r="A20" s="2">
        <v>19</v>
      </c>
      <c r="B20" s="2">
        <v>19</v>
      </c>
      <c r="C20" s="2" t="s">
        <v>16</v>
      </c>
      <c r="D20" s="2" t="s">
        <v>45</v>
      </c>
      <c r="E20" s="1">
        <v>2019</v>
      </c>
      <c r="F20" s="1" t="s">
        <v>16</v>
      </c>
      <c r="G20" s="1" t="s">
        <v>16</v>
      </c>
      <c r="H20" s="1" t="s">
        <v>16</v>
      </c>
      <c r="I20" s="1" t="s">
        <v>16</v>
      </c>
      <c r="J20" s="1">
        <v>0</v>
      </c>
      <c r="K20" s="1">
        <v>0</v>
      </c>
      <c r="L20" s="1">
        <v>0</v>
      </c>
      <c r="M20" s="1">
        <v>0</v>
      </c>
    </row>
    <row r="21" spans="1:28" ht="15.75" customHeight="1">
      <c r="A21" s="2">
        <v>20</v>
      </c>
      <c r="B21" s="2">
        <v>20</v>
      </c>
      <c r="C21" s="2" t="s">
        <v>18</v>
      </c>
      <c r="D21" s="2" t="s">
        <v>45</v>
      </c>
      <c r="E21" s="1">
        <v>2019</v>
      </c>
      <c r="F21" s="1" t="s">
        <v>18</v>
      </c>
      <c r="G21" s="1" t="s">
        <v>18</v>
      </c>
      <c r="H21" s="1" t="s">
        <v>18</v>
      </c>
      <c r="I21" s="1" t="s">
        <v>18</v>
      </c>
      <c r="J21" s="1">
        <v>0</v>
      </c>
      <c r="K21" s="1">
        <v>1</v>
      </c>
      <c r="L21" s="1">
        <v>1</v>
      </c>
      <c r="M21" s="1">
        <v>1</v>
      </c>
    </row>
    <row r="22" spans="1:28" ht="15.75" customHeight="1">
      <c r="A22" s="2">
        <v>21</v>
      </c>
      <c r="B22" s="2">
        <v>21</v>
      </c>
      <c r="C22" s="2" t="s">
        <v>13</v>
      </c>
      <c r="D22" s="1" t="s">
        <v>46</v>
      </c>
      <c r="E22" s="1">
        <v>2019</v>
      </c>
      <c r="F22" s="1" t="s">
        <v>13</v>
      </c>
      <c r="G22" s="1" t="s">
        <v>13</v>
      </c>
      <c r="H22" s="1" t="s">
        <v>13</v>
      </c>
      <c r="I22" s="1" t="s">
        <v>13</v>
      </c>
      <c r="J22" s="1">
        <v>0</v>
      </c>
      <c r="K22" s="1">
        <v>1</v>
      </c>
      <c r="L22" s="1">
        <v>0</v>
      </c>
      <c r="M22" s="1">
        <v>0</v>
      </c>
    </row>
    <row r="23" spans="1:28" ht="15.75" customHeight="1">
      <c r="A23" s="2">
        <v>22</v>
      </c>
      <c r="B23" s="2">
        <v>22</v>
      </c>
      <c r="C23" s="2" t="s">
        <v>16</v>
      </c>
      <c r="D23" s="1" t="s">
        <v>46</v>
      </c>
      <c r="E23" s="1">
        <v>2019</v>
      </c>
      <c r="F23" s="1" t="s">
        <v>16</v>
      </c>
      <c r="G23" s="1" t="s">
        <v>16</v>
      </c>
      <c r="H23" s="1" t="s">
        <v>16</v>
      </c>
      <c r="I23" s="1" t="s">
        <v>16</v>
      </c>
      <c r="J23" s="1">
        <v>0</v>
      </c>
      <c r="K23" s="1">
        <v>1</v>
      </c>
      <c r="L23" s="1">
        <v>0</v>
      </c>
      <c r="M23" s="1">
        <v>0</v>
      </c>
    </row>
    <row r="24" spans="1:28" ht="15.75" customHeight="1">
      <c r="A24" s="2">
        <v>23</v>
      </c>
      <c r="B24" s="2">
        <v>23</v>
      </c>
      <c r="C24" s="2" t="s">
        <v>15</v>
      </c>
      <c r="D24" s="1" t="s">
        <v>46</v>
      </c>
      <c r="E24" s="1">
        <v>2019</v>
      </c>
      <c r="F24" s="1" t="s">
        <v>15</v>
      </c>
      <c r="G24" s="1" t="s">
        <v>15</v>
      </c>
      <c r="H24" s="1" t="s">
        <v>15</v>
      </c>
      <c r="I24" s="1" t="s">
        <v>15</v>
      </c>
      <c r="J24" s="1">
        <v>0</v>
      </c>
      <c r="K24" s="1">
        <v>0</v>
      </c>
      <c r="L24" s="1">
        <v>0</v>
      </c>
      <c r="M24" s="1">
        <v>0</v>
      </c>
    </row>
    <row r="25" spans="1:28" ht="15.75" customHeight="1">
      <c r="A25" s="2">
        <v>24</v>
      </c>
      <c r="B25" s="2">
        <v>24</v>
      </c>
      <c r="C25" s="2" t="s">
        <v>20</v>
      </c>
      <c r="D25" s="1" t="s">
        <v>46</v>
      </c>
      <c r="E25" s="1">
        <v>2019</v>
      </c>
      <c r="F25" s="1" t="s">
        <v>20</v>
      </c>
      <c r="G25" s="1" t="s">
        <v>20</v>
      </c>
      <c r="H25" s="1" t="s">
        <v>20</v>
      </c>
      <c r="I25" s="1" t="s">
        <v>20</v>
      </c>
      <c r="J25" s="1">
        <v>0</v>
      </c>
      <c r="K25" s="1">
        <v>0</v>
      </c>
      <c r="L25" s="1">
        <v>0</v>
      </c>
      <c r="M25" s="1">
        <v>0</v>
      </c>
    </row>
    <row r="26" spans="1:28" ht="15.75" customHeight="1">
      <c r="A26" s="2">
        <v>25</v>
      </c>
      <c r="B26" s="2">
        <v>25</v>
      </c>
      <c r="C26" s="2" t="s">
        <v>15</v>
      </c>
      <c r="D26" s="1" t="s">
        <v>46</v>
      </c>
      <c r="E26" s="1">
        <v>2019</v>
      </c>
      <c r="F26" s="1" t="s">
        <v>15</v>
      </c>
      <c r="G26" s="1" t="s">
        <v>15</v>
      </c>
      <c r="H26" s="1" t="s">
        <v>15</v>
      </c>
      <c r="I26" s="1" t="s">
        <v>15</v>
      </c>
      <c r="J26" s="1">
        <v>0</v>
      </c>
      <c r="K26" s="1">
        <v>0</v>
      </c>
      <c r="L26" s="1">
        <v>0</v>
      </c>
      <c r="M26" s="1">
        <v>1</v>
      </c>
    </row>
    <row r="27" spans="1:28" ht="15.75" customHeight="1">
      <c r="A27" s="2">
        <v>26</v>
      </c>
      <c r="B27" s="2">
        <v>26</v>
      </c>
      <c r="C27" s="2" t="s">
        <v>16</v>
      </c>
      <c r="D27" s="1" t="s">
        <v>46</v>
      </c>
      <c r="E27" s="1">
        <v>2019</v>
      </c>
      <c r="F27" s="1" t="s">
        <v>16</v>
      </c>
      <c r="G27" s="1" t="s">
        <v>16</v>
      </c>
      <c r="H27" s="1" t="s">
        <v>16</v>
      </c>
      <c r="I27" s="1" t="s">
        <v>16</v>
      </c>
      <c r="J27" s="1">
        <v>0</v>
      </c>
      <c r="K27" s="1">
        <v>0</v>
      </c>
      <c r="L27" s="1">
        <v>0</v>
      </c>
      <c r="M27" s="1">
        <v>0</v>
      </c>
    </row>
    <row r="28" spans="1:28" ht="15.75" customHeight="1">
      <c r="A28" s="2">
        <v>27</v>
      </c>
      <c r="B28" s="2">
        <v>27</v>
      </c>
      <c r="C28" s="2" t="s">
        <v>13</v>
      </c>
      <c r="D28" s="1" t="s">
        <v>46</v>
      </c>
      <c r="E28" s="1">
        <v>2019</v>
      </c>
      <c r="F28" s="1" t="s">
        <v>13</v>
      </c>
      <c r="G28" s="1" t="s">
        <v>13</v>
      </c>
      <c r="H28" s="1" t="s">
        <v>13</v>
      </c>
      <c r="I28" s="1" t="s">
        <v>13</v>
      </c>
      <c r="J28" s="1">
        <v>0</v>
      </c>
      <c r="K28" s="1">
        <v>0</v>
      </c>
      <c r="L28" s="1">
        <v>0</v>
      </c>
      <c r="M28" s="1">
        <v>1</v>
      </c>
    </row>
    <row r="29" spans="1:28" ht="14.4">
      <c r="A29" s="5">
        <v>28</v>
      </c>
      <c r="B29" s="5">
        <v>28</v>
      </c>
      <c r="C29" s="5" t="s">
        <v>26</v>
      </c>
      <c r="D29" s="1" t="s">
        <v>46</v>
      </c>
      <c r="E29" s="6">
        <v>2019</v>
      </c>
      <c r="F29" s="6"/>
      <c r="G29" s="6"/>
      <c r="H29" s="6"/>
      <c r="I29" s="6"/>
      <c r="J29" s="6" t="s">
        <v>26</v>
      </c>
      <c r="K29" s="6" t="s">
        <v>26</v>
      </c>
      <c r="L29" s="6" t="s">
        <v>26</v>
      </c>
      <c r="M29" s="6" t="s">
        <v>26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4.4">
      <c r="A30" s="2">
        <v>29</v>
      </c>
      <c r="B30" s="2">
        <v>29</v>
      </c>
      <c r="C30" s="2" t="s">
        <v>18</v>
      </c>
      <c r="D30" s="1" t="s">
        <v>46</v>
      </c>
      <c r="E30" s="1">
        <v>2019</v>
      </c>
      <c r="F30" s="1" t="s">
        <v>18</v>
      </c>
      <c r="G30" s="1" t="s">
        <v>18</v>
      </c>
      <c r="H30" s="1" t="s">
        <v>18</v>
      </c>
      <c r="I30" s="1" t="s">
        <v>18</v>
      </c>
      <c r="J30" s="1">
        <v>0</v>
      </c>
      <c r="K30" s="1">
        <v>0</v>
      </c>
      <c r="L30" s="1">
        <v>0</v>
      </c>
      <c r="M30" s="1">
        <v>0</v>
      </c>
    </row>
    <row r="31" spans="1:28" ht="14.4">
      <c r="A31" s="2">
        <v>30</v>
      </c>
      <c r="B31" s="2">
        <v>30</v>
      </c>
      <c r="C31" s="2" t="s">
        <v>16</v>
      </c>
      <c r="D31" s="1" t="s">
        <v>46</v>
      </c>
      <c r="E31" s="1">
        <v>2019</v>
      </c>
      <c r="F31" s="1" t="s">
        <v>16</v>
      </c>
      <c r="G31" s="1" t="s">
        <v>16</v>
      </c>
      <c r="H31" s="1" t="s">
        <v>16</v>
      </c>
      <c r="I31" s="1" t="s">
        <v>16</v>
      </c>
      <c r="J31" s="1">
        <v>0</v>
      </c>
      <c r="K31" s="1">
        <v>0</v>
      </c>
      <c r="L31" s="1">
        <v>0</v>
      </c>
      <c r="M31" s="1">
        <v>0</v>
      </c>
    </row>
    <row r="32" spans="1:28" ht="14.4">
      <c r="A32" s="2">
        <v>31</v>
      </c>
      <c r="B32" s="2">
        <v>31</v>
      </c>
      <c r="C32" s="2" t="s">
        <v>20</v>
      </c>
      <c r="D32" s="1" t="s">
        <v>46</v>
      </c>
      <c r="E32" s="1">
        <v>2019</v>
      </c>
      <c r="F32" s="1" t="s">
        <v>20</v>
      </c>
      <c r="G32" s="1" t="s">
        <v>20</v>
      </c>
      <c r="H32" s="1" t="s">
        <v>20</v>
      </c>
      <c r="I32" s="1" t="s">
        <v>20</v>
      </c>
      <c r="J32" s="1">
        <v>0</v>
      </c>
      <c r="K32" s="1">
        <v>0</v>
      </c>
      <c r="L32" s="1">
        <v>0</v>
      </c>
      <c r="M32" s="1">
        <v>1</v>
      </c>
    </row>
    <row r="33" spans="1:13" ht="14.4">
      <c r="A33" s="2">
        <v>32</v>
      </c>
      <c r="B33" s="2">
        <v>32</v>
      </c>
      <c r="C33" s="2" t="s">
        <v>16</v>
      </c>
      <c r="D33" s="1" t="s">
        <v>46</v>
      </c>
      <c r="E33" s="1">
        <v>2019</v>
      </c>
      <c r="F33" s="1" t="s">
        <v>16</v>
      </c>
      <c r="G33" s="1" t="s">
        <v>16</v>
      </c>
      <c r="H33" s="1" t="s">
        <v>16</v>
      </c>
      <c r="I33" s="1" t="s">
        <v>16</v>
      </c>
      <c r="J33" s="1">
        <v>0</v>
      </c>
      <c r="K33" s="1">
        <v>0</v>
      </c>
      <c r="L33" s="1">
        <v>0</v>
      </c>
      <c r="M33" s="1">
        <v>0</v>
      </c>
    </row>
    <row r="34" spans="1:13" ht="14.4">
      <c r="A34" s="2">
        <v>33</v>
      </c>
      <c r="B34" s="2">
        <v>33</v>
      </c>
      <c r="C34" s="2" t="s">
        <v>13</v>
      </c>
      <c r="D34" s="1" t="s">
        <v>46</v>
      </c>
      <c r="E34" s="1">
        <v>2019</v>
      </c>
      <c r="F34" s="1" t="s">
        <v>13</v>
      </c>
      <c r="G34" s="1" t="s">
        <v>13</v>
      </c>
      <c r="H34" s="1" t="s">
        <v>13</v>
      </c>
      <c r="I34" s="1" t="s">
        <v>13</v>
      </c>
      <c r="J34" s="1">
        <v>0</v>
      </c>
      <c r="K34" s="1">
        <v>0</v>
      </c>
      <c r="L34" s="1">
        <v>0</v>
      </c>
      <c r="M34" s="1">
        <v>0</v>
      </c>
    </row>
    <row r="35" spans="1:13" ht="14.4">
      <c r="A35" s="2">
        <v>34</v>
      </c>
      <c r="B35" s="2">
        <v>34</v>
      </c>
      <c r="C35" s="2" t="s">
        <v>15</v>
      </c>
      <c r="D35" s="1" t="s">
        <v>46</v>
      </c>
      <c r="E35" s="1">
        <v>2019</v>
      </c>
      <c r="F35" s="1" t="s">
        <v>18</v>
      </c>
      <c r="G35" s="1" t="s">
        <v>15</v>
      </c>
      <c r="H35" s="1" t="s">
        <v>15</v>
      </c>
      <c r="I35" s="1" t="s">
        <v>18</v>
      </c>
      <c r="J35" s="1">
        <v>0</v>
      </c>
      <c r="K35" s="1">
        <v>0</v>
      </c>
      <c r="L35" s="1">
        <v>0</v>
      </c>
      <c r="M35" s="1">
        <v>0</v>
      </c>
    </row>
    <row r="36" spans="1:13" ht="14.4">
      <c r="A36" s="2">
        <v>35</v>
      </c>
      <c r="B36" s="2">
        <v>35</v>
      </c>
      <c r="C36" s="2" t="s">
        <v>16</v>
      </c>
      <c r="D36" s="1" t="s">
        <v>46</v>
      </c>
      <c r="E36" s="1">
        <v>2019</v>
      </c>
      <c r="F36" s="1" t="s">
        <v>16</v>
      </c>
      <c r="G36" s="1" t="s">
        <v>16</v>
      </c>
      <c r="H36" s="1" t="s">
        <v>16</v>
      </c>
      <c r="I36" s="1" t="s">
        <v>16</v>
      </c>
      <c r="J36" s="1">
        <v>0</v>
      </c>
      <c r="K36" s="1">
        <v>0</v>
      </c>
      <c r="L36" s="1">
        <v>0</v>
      </c>
      <c r="M36" s="1">
        <v>0</v>
      </c>
    </row>
    <row r="37" spans="1:13" ht="14.4">
      <c r="A37" s="2">
        <v>36</v>
      </c>
      <c r="B37" s="2">
        <v>36</v>
      </c>
      <c r="C37" s="2" t="s">
        <v>20</v>
      </c>
      <c r="D37" s="1" t="s">
        <v>46</v>
      </c>
      <c r="E37" s="1">
        <v>2019</v>
      </c>
      <c r="F37" s="1" t="s">
        <v>20</v>
      </c>
      <c r="G37" s="1" t="s">
        <v>20</v>
      </c>
      <c r="H37" s="1" t="s">
        <v>20</v>
      </c>
      <c r="I37" s="1" t="s">
        <v>20</v>
      </c>
      <c r="J37" s="1">
        <v>0</v>
      </c>
      <c r="K37" s="1">
        <v>0</v>
      </c>
      <c r="L37" s="1">
        <v>0</v>
      </c>
      <c r="M37" s="1">
        <v>0</v>
      </c>
    </row>
    <row r="38" spans="1:13" ht="14.4">
      <c r="A38" s="2">
        <v>37</v>
      </c>
      <c r="B38" s="2">
        <v>37</v>
      </c>
      <c r="C38" s="2" t="s">
        <v>15</v>
      </c>
      <c r="D38" s="1" t="s">
        <v>46</v>
      </c>
      <c r="E38" s="1">
        <v>2019</v>
      </c>
      <c r="F38" s="1" t="s">
        <v>15</v>
      </c>
      <c r="G38" s="1" t="s">
        <v>15</v>
      </c>
      <c r="H38" s="1" t="s">
        <v>15</v>
      </c>
      <c r="I38" s="1" t="s">
        <v>15</v>
      </c>
      <c r="J38" s="1">
        <v>0</v>
      </c>
      <c r="K38" s="1">
        <v>0</v>
      </c>
      <c r="L38" s="1">
        <v>0</v>
      </c>
      <c r="M38" s="1">
        <v>0</v>
      </c>
    </row>
    <row r="39" spans="1:13" ht="14.4">
      <c r="A39" s="2">
        <v>38</v>
      </c>
      <c r="B39" s="2">
        <v>38</v>
      </c>
      <c r="C39" s="2" t="s">
        <v>18</v>
      </c>
      <c r="D39" s="1" t="s">
        <v>46</v>
      </c>
      <c r="E39" s="1">
        <v>2019</v>
      </c>
      <c r="F39" s="1" t="s">
        <v>18</v>
      </c>
      <c r="G39" s="1" t="s">
        <v>18</v>
      </c>
      <c r="H39" s="1" t="s">
        <v>18</v>
      </c>
      <c r="I39" s="1" t="s">
        <v>18</v>
      </c>
      <c r="J39" s="1">
        <v>0</v>
      </c>
      <c r="K39" s="1">
        <v>0</v>
      </c>
      <c r="L39" s="1">
        <v>0</v>
      </c>
      <c r="M39" s="1">
        <v>0</v>
      </c>
    </row>
    <row r="40" spans="1:13" ht="14.4">
      <c r="A40" s="2">
        <v>39</v>
      </c>
      <c r="B40" s="2">
        <v>39</v>
      </c>
      <c r="C40" s="2" t="s">
        <v>20</v>
      </c>
      <c r="D40" s="1" t="s">
        <v>46</v>
      </c>
      <c r="E40" s="1">
        <v>2019</v>
      </c>
      <c r="F40" s="1" t="s">
        <v>20</v>
      </c>
      <c r="G40" s="1" t="s">
        <v>20</v>
      </c>
      <c r="H40" s="1" t="s">
        <v>20</v>
      </c>
      <c r="I40" s="1" t="s">
        <v>20</v>
      </c>
      <c r="J40" s="1">
        <v>0</v>
      </c>
      <c r="K40" s="1">
        <v>1</v>
      </c>
      <c r="L40" s="1">
        <v>0</v>
      </c>
      <c r="M40" s="1">
        <v>0</v>
      </c>
    </row>
    <row r="41" spans="1:13" ht="14.4">
      <c r="A41" s="2">
        <v>40</v>
      </c>
      <c r="B41" s="2">
        <v>40</v>
      </c>
      <c r="C41" s="2" t="s">
        <v>18</v>
      </c>
      <c r="D41" s="1" t="s">
        <v>46</v>
      </c>
      <c r="E41" s="1">
        <v>2019</v>
      </c>
      <c r="F41" s="1" t="s">
        <v>18</v>
      </c>
      <c r="G41" s="1" t="s">
        <v>18</v>
      </c>
      <c r="H41" s="1" t="s">
        <v>18</v>
      </c>
      <c r="I41" s="1" t="s">
        <v>18</v>
      </c>
      <c r="J41" s="1">
        <v>0</v>
      </c>
      <c r="K41" s="1">
        <v>0</v>
      </c>
      <c r="L41" s="1">
        <v>0</v>
      </c>
      <c r="M41" s="1">
        <v>0</v>
      </c>
    </row>
    <row r="42" spans="1:13" ht="14.4">
      <c r="A42" s="2">
        <v>41</v>
      </c>
      <c r="B42" s="2">
        <v>41</v>
      </c>
      <c r="C42" s="2" t="s">
        <v>15</v>
      </c>
      <c r="D42" s="1" t="s">
        <v>46</v>
      </c>
      <c r="E42" s="1">
        <v>2019</v>
      </c>
      <c r="F42" s="1" t="s">
        <v>15</v>
      </c>
      <c r="G42" s="1" t="s">
        <v>16</v>
      </c>
      <c r="H42" s="1" t="s">
        <v>16</v>
      </c>
      <c r="I42" s="1" t="s">
        <v>16</v>
      </c>
      <c r="J42" s="1">
        <v>1</v>
      </c>
      <c r="K42" s="1">
        <v>0</v>
      </c>
      <c r="L42" s="1">
        <v>0</v>
      </c>
      <c r="M42" s="1">
        <v>0</v>
      </c>
    </row>
    <row r="43" spans="1:13" ht="14.4">
      <c r="A43" s="2">
        <v>42</v>
      </c>
      <c r="B43" s="2">
        <v>42</v>
      </c>
      <c r="C43" s="2" t="s">
        <v>13</v>
      </c>
      <c r="D43" s="1" t="s">
        <v>46</v>
      </c>
      <c r="E43" s="1">
        <v>2019</v>
      </c>
      <c r="F43" s="1" t="s">
        <v>15</v>
      </c>
      <c r="G43" s="1" t="s">
        <v>18</v>
      </c>
      <c r="H43" s="1" t="s">
        <v>15</v>
      </c>
      <c r="I43" s="1" t="s">
        <v>13</v>
      </c>
      <c r="J43" s="1">
        <v>1</v>
      </c>
      <c r="K43" s="1">
        <v>0</v>
      </c>
      <c r="L43" s="1">
        <v>0</v>
      </c>
      <c r="M43" s="1">
        <v>0</v>
      </c>
    </row>
    <row r="44" spans="1:13" ht="14.4">
      <c r="A44" s="2">
        <v>43</v>
      </c>
      <c r="B44" s="2">
        <v>43</v>
      </c>
      <c r="C44" s="2" t="s">
        <v>16</v>
      </c>
      <c r="D44" s="1" t="s">
        <v>46</v>
      </c>
      <c r="E44" s="1">
        <v>2019</v>
      </c>
      <c r="F44" s="1" t="s">
        <v>16</v>
      </c>
      <c r="G44" s="1" t="s">
        <v>16</v>
      </c>
      <c r="H44" s="1" t="s">
        <v>16</v>
      </c>
      <c r="I44" s="1" t="s">
        <v>16</v>
      </c>
      <c r="J44" s="1">
        <v>0</v>
      </c>
      <c r="K44" s="1">
        <v>0</v>
      </c>
      <c r="L44" s="1">
        <v>0</v>
      </c>
      <c r="M44" s="1">
        <v>0</v>
      </c>
    </row>
    <row r="45" spans="1:13" ht="14.4">
      <c r="A45" s="2">
        <v>44</v>
      </c>
      <c r="B45" s="2">
        <v>44</v>
      </c>
      <c r="C45" s="2" t="s">
        <v>20</v>
      </c>
      <c r="D45" s="1" t="s">
        <v>46</v>
      </c>
      <c r="E45" s="1">
        <v>2019</v>
      </c>
      <c r="F45" s="1" t="s">
        <v>15</v>
      </c>
      <c r="G45" s="1" t="s">
        <v>16</v>
      </c>
      <c r="H45" s="1" t="s">
        <v>15</v>
      </c>
      <c r="I45" s="1" t="s">
        <v>15</v>
      </c>
      <c r="J45" s="1">
        <v>0</v>
      </c>
      <c r="K45" s="1">
        <v>0</v>
      </c>
      <c r="L45" s="1">
        <v>0</v>
      </c>
      <c r="M45" s="1">
        <v>0</v>
      </c>
    </row>
    <row r="46" spans="1:13" ht="14.4">
      <c r="A46" s="2">
        <v>45</v>
      </c>
      <c r="B46" s="2">
        <v>45</v>
      </c>
      <c r="C46" s="2" t="s">
        <v>18</v>
      </c>
      <c r="D46" s="1" t="s">
        <v>46</v>
      </c>
      <c r="E46" s="1">
        <v>2019</v>
      </c>
      <c r="F46" s="1" t="s">
        <v>18</v>
      </c>
      <c r="G46" s="1" t="s">
        <v>18</v>
      </c>
      <c r="H46" s="1" t="s">
        <v>18</v>
      </c>
      <c r="I46" s="1" t="s">
        <v>18</v>
      </c>
      <c r="J46" s="1">
        <v>0</v>
      </c>
      <c r="K46" s="1">
        <v>0</v>
      </c>
      <c r="L46" s="1">
        <v>0</v>
      </c>
      <c r="M46" s="1">
        <v>1</v>
      </c>
    </row>
    <row r="47" spans="1:13" ht="14.4">
      <c r="A47" s="2">
        <v>46</v>
      </c>
      <c r="B47" s="2">
        <v>46</v>
      </c>
      <c r="C47" s="2" t="s">
        <v>16</v>
      </c>
      <c r="D47" s="1" t="s">
        <v>46</v>
      </c>
      <c r="E47" s="1">
        <v>2019</v>
      </c>
      <c r="F47" s="1" t="s">
        <v>16</v>
      </c>
      <c r="G47" s="1" t="s">
        <v>16</v>
      </c>
      <c r="H47" s="1" t="s">
        <v>16</v>
      </c>
      <c r="I47" s="1" t="s">
        <v>16</v>
      </c>
      <c r="J47" s="1">
        <v>0</v>
      </c>
      <c r="K47" s="1">
        <v>0</v>
      </c>
      <c r="L47" s="1">
        <v>0</v>
      </c>
      <c r="M47" s="1">
        <v>0</v>
      </c>
    </row>
    <row r="48" spans="1:13" ht="14.4">
      <c r="A48" s="2">
        <v>47</v>
      </c>
      <c r="B48" s="2">
        <v>47</v>
      </c>
      <c r="C48" s="2" t="s">
        <v>15</v>
      </c>
      <c r="D48" s="1" t="s">
        <v>46</v>
      </c>
      <c r="E48" s="1">
        <v>2019</v>
      </c>
      <c r="F48" s="1" t="s">
        <v>15</v>
      </c>
      <c r="G48" s="1" t="s">
        <v>15</v>
      </c>
      <c r="H48" s="1" t="s">
        <v>16</v>
      </c>
      <c r="I48" s="1" t="s">
        <v>15</v>
      </c>
      <c r="J48" s="1">
        <v>0</v>
      </c>
      <c r="K48" s="1">
        <v>1</v>
      </c>
      <c r="L48" s="1">
        <v>0</v>
      </c>
      <c r="M48" s="1">
        <v>0</v>
      </c>
    </row>
    <row r="49" spans="1:13" ht="14.4">
      <c r="A49" s="2">
        <v>48</v>
      </c>
      <c r="B49" s="2">
        <v>48</v>
      </c>
      <c r="C49" s="2" t="s">
        <v>15</v>
      </c>
      <c r="D49" s="1" t="s">
        <v>46</v>
      </c>
      <c r="E49" s="1">
        <v>2019</v>
      </c>
      <c r="F49" s="1" t="s">
        <v>15</v>
      </c>
      <c r="G49" s="1" t="s">
        <v>15</v>
      </c>
      <c r="H49" s="1" t="s">
        <v>15</v>
      </c>
      <c r="I49" s="1" t="s">
        <v>15</v>
      </c>
      <c r="J49" s="1">
        <v>0</v>
      </c>
      <c r="K49" s="1">
        <v>0</v>
      </c>
      <c r="L49" s="1">
        <v>0</v>
      </c>
      <c r="M49" s="1">
        <v>0</v>
      </c>
    </row>
    <row r="50" spans="1:13" ht="14.4">
      <c r="A50" s="2">
        <v>49</v>
      </c>
      <c r="B50" s="2">
        <v>49</v>
      </c>
      <c r="C50" s="2" t="s">
        <v>15</v>
      </c>
      <c r="D50" s="1" t="s">
        <v>46</v>
      </c>
      <c r="E50" s="1">
        <v>2019</v>
      </c>
      <c r="F50" s="1" t="s">
        <v>15</v>
      </c>
      <c r="G50" s="1" t="s">
        <v>16</v>
      </c>
      <c r="H50" s="1" t="s">
        <v>15</v>
      </c>
      <c r="I50" s="1" t="s">
        <v>15</v>
      </c>
      <c r="J50" s="1">
        <v>1</v>
      </c>
      <c r="K50" s="1">
        <v>0</v>
      </c>
      <c r="L50" s="1">
        <v>0</v>
      </c>
      <c r="M50" s="1">
        <v>0</v>
      </c>
    </row>
    <row r="51" spans="1:13" ht="14.4">
      <c r="A51" s="2">
        <v>50</v>
      </c>
      <c r="B51" s="2">
        <v>50</v>
      </c>
      <c r="C51" s="2" t="s">
        <v>20</v>
      </c>
      <c r="D51" s="1" t="s">
        <v>46</v>
      </c>
      <c r="E51" s="1">
        <v>2019</v>
      </c>
      <c r="F51" s="1" t="s">
        <v>20</v>
      </c>
      <c r="G51" s="1" t="s">
        <v>20</v>
      </c>
      <c r="H51" s="1" t="s">
        <v>20</v>
      </c>
      <c r="I51" s="1" t="s">
        <v>20</v>
      </c>
      <c r="J51" s="1">
        <v>0</v>
      </c>
      <c r="K51" s="1">
        <v>0</v>
      </c>
      <c r="L51" s="1">
        <v>0</v>
      </c>
      <c r="M51" s="1">
        <v>1</v>
      </c>
    </row>
    <row r="52" spans="1:13" ht="14.4">
      <c r="A52" s="2">
        <v>51</v>
      </c>
      <c r="B52" s="2">
        <v>51</v>
      </c>
      <c r="C52" s="2" t="s">
        <v>18</v>
      </c>
      <c r="D52" s="8" t="s">
        <v>47</v>
      </c>
      <c r="E52" s="1">
        <v>2019</v>
      </c>
      <c r="F52" s="1" t="s">
        <v>18</v>
      </c>
      <c r="G52" s="1" t="s">
        <v>18</v>
      </c>
      <c r="H52" s="1" t="s">
        <v>18</v>
      </c>
      <c r="I52" s="1" t="s">
        <v>18</v>
      </c>
      <c r="J52" s="1">
        <v>0</v>
      </c>
      <c r="K52" s="1">
        <v>1</v>
      </c>
      <c r="L52" s="1">
        <v>0</v>
      </c>
      <c r="M52" s="1">
        <v>0</v>
      </c>
    </row>
    <row r="53" spans="1:13" ht="14.4">
      <c r="A53" s="2">
        <v>52</v>
      </c>
      <c r="B53" s="2">
        <v>52</v>
      </c>
      <c r="C53" s="2" t="s">
        <v>15</v>
      </c>
      <c r="D53" s="8" t="s">
        <v>47</v>
      </c>
      <c r="E53" s="1">
        <v>2019</v>
      </c>
      <c r="F53" s="1" t="s">
        <v>15</v>
      </c>
      <c r="G53" s="1" t="s">
        <v>15</v>
      </c>
      <c r="H53" s="1" t="s">
        <v>15</v>
      </c>
      <c r="I53" s="1" t="s">
        <v>15</v>
      </c>
      <c r="J53" s="1">
        <v>0</v>
      </c>
      <c r="K53" s="1">
        <v>0</v>
      </c>
      <c r="L53" s="1">
        <v>0</v>
      </c>
      <c r="M53" s="1">
        <v>0</v>
      </c>
    </row>
    <row r="54" spans="1:13" ht="14.4">
      <c r="A54" s="2">
        <v>53</v>
      </c>
      <c r="B54" s="2">
        <v>53</v>
      </c>
      <c r="C54" s="2" t="s">
        <v>18</v>
      </c>
      <c r="D54" s="8" t="s">
        <v>47</v>
      </c>
      <c r="E54" s="1">
        <v>2019</v>
      </c>
      <c r="F54" s="1" t="s">
        <v>20</v>
      </c>
      <c r="G54" s="1" t="s">
        <v>20</v>
      </c>
      <c r="H54" s="1" t="s">
        <v>20</v>
      </c>
      <c r="I54" s="1" t="s">
        <v>20</v>
      </c>
      <c r="J54" s="1">
        <v>0</v>
      </c>
      <c r="K54" s="1">
        <v>0</v>
      </c>
      <c r="L54" s="1">
        <v>0</v>
      </c>
      <c r="M54" s="1">
        <v>0</v>
      </c>
    </row>
    <row r="55" spans="1:13" ht="14.4">
      <c r="A55" s="2">
        <v>54</v>
      </c>
      <c r="B55" s="2">
        <v>54</v>
      </c>
      <c r="C55" s="2" t="s">
        <v>15</v>
      </c>
      <c r="D55" s="8" t="s">
        <v>47</v>
      </c>
      <c r="E55" s="1">
        <v>2019</v>
      </c>
      <c r="F55" s="1" t="s">
        <v>15</v>
      </c>
      <c r="G55" s="1" t="s">
        <v>15</v>
      </c>
      <c r="H55" s="1" t="s">
        <v>15</v>
      </c>
      <c r="I55" s="1" t="s">
        <v>15</v>
      </c>
      <c r="J55" s="1">
        <v>0</v>
      </c>
      <c r="K55" s="1">
        <v>0</v>
      </c>
      <c r="L55" s="1">
        <v>0</v>
      </c>
      <c r="M55" s="1">
        <v>0</v>
      </c>
    </row>
    <row r="56" spans="1:13" ht="14.4">
      <c r="A56" s="2">
        <v>55</v>
      </c>
      <c r="B56" s="2">
        <v>55</v>
      </c>
      <c r="C56" s="2" t="s">
        <v>13</v>
      </c>
      <c r="D56" s="8" t="s">
        <v>47</v>
      </c>
      <c r="E56" s="1">
        <v>2019</v>
      </c>
      <c r="F56" s="1" t="s">
        <v>13</v>
      </c>
      <c r="G56" s="1" t="s">
        <v>13</v>
      </c>
      <c r="H56" s="1" t="s">
        <v>16</v>
      </c>
      <c r="I56" s="1" t="s">
        <v>13</v>
      </c>
      <c r="J56" s="1">
        <v>0</v>
      </c>
      <c r="K56" s="1">
        <v>0</v>
      </c>
      <c r="L56" s="1">
        <v>0</v>
      </c>
      <c r="M56" s="1">
        <v>0</v>
      </c>
    </row>
    <row r="57" spans="1:13" ht="14.4">
      <c r="A57" s="2">
        <v>56</v>
      </c>
      <c r="B57" s="2">
        <v>56</v>
      </c>
      <c r="C57" s="2" t="s">
        <v>16</v>
      </c>
      <c r="D57" s="8" t="s">
        <v>47</v>
      </c>
      <c r="E57" s="1">
        <v>2019</v>
      </c>
      <c r="F57" s="1" t="s">
        <v>16</v>
      </c>
      <c r="G57" s="1" t="s">
        <v>16</v>
      </c>
      <c r="H57" s="1" t="s">
        <v>16</v>
      </c>
      <c r="I57" s="1" t="s">
        <v>16</v>
      </c>
      <c r="J57" s="1">
        <v>0</v>
      </c>
      <c r="K57" s="1">
        <v>0</v>
      </c>
      <c r="L57" s="1">
        <v>0</v>
      </c>
      <c r="M57" s="1">
        <v>0</v>
      </c>
    </row>
    <row r="58" spans="1:13" ht="14.4">
      <c r="A58" s="2">
        <v>57</v>
      </c>
      <c r="B58" s="2">
        <v>57</v>
      </c>
      <c r="C58" s="2" t="s">
        <v>15</v>
      </c>
      <c r="D58" s="8" t="s">
        <v>47</v>
      </c>
      <c r="E58" s="1">
        <v>2019</v>
      </c>
      <c r="F58" s="1" t="s">
        <v>15</v>
      </c>
      <c r="G58" s="1" t="s">
        <v>15</v>
      </c>
      <c r="H58" s="1" t="s">
        <v>15</v>
      </c>
      <c r="I58" s="1" t="s">
        <v>15</v>
      </c>
      <c r="J58" s="1">
        <v>0</v>
      </c>
      <c r="K58" s="1">
        <v>0</v>
      </c>
      <c r="L58" s="1">
        <v>0</v>
      </c>
      <c r="M58" s="1">
        <v>0</v>
      </c>
    </row>
    <row r="59" spans="1:13" ht="14.4">
      <c r="A59" s="2">
        <v>58</v>
      </c>
      <c r="B59" s="2">
        <v>58</v>
      </c>
      <c r="C59" s="2" t="s">
        <v>20</v>
      </c>
      <c r="D59" s="8" t="s">
        <v>47</v>
      </c>
      <c r="E59" s="1">
        <v>2019</v>
      </c>
      <c r="F59" s="1" t="s">
        <v>20</v>
      </c>
      <c r="G59" s="1" t="s">
        <v>20</v>
      </c>
      <c r="H59" s="1" t="s">
        <v>20</v>
      </c>
      <c r="I59" s="1" t="s">
        <v>20</v>
      </c>
      <c r="J59" s="1">
        <v>0</v>
      </c>
      <c r="K59" s="1">
        <v>0</v>
      </c>
      <c r="L59" s="1">
        <v>0</v>
      </c>
      <c r="M59" s="1">
        <v>0</v>
      </c>
    </row>
    <row r="60" spans="1:13" ht="14.4">
      <c r="A60" s="2">
        <v>59</v>
      </c>
      <c r="B60" s="2">
        <v>59</v>
      </c>
      <c r="C60" s="2" t="s">
        <v>18</v>
      </c>
      <c r="D60" s="8" t="s">
        <v>47</v>
      </c>
      <c r="E60" s="1">
        <v>2019</v>
      </c>
      <c r="F60" s="1" t="s">
        <v>18</v>
      </c>
      <c r="G60" s="1" t="s">
        <v>18</v>
      </c>
      <c r="H60" s="1" t="s">
        <v>18</v>
      </c>
      <c r="I60" s="1" t="s">
        <v>18</v>
      </c>
      <c r="J60" s="1">
        <v>0</v>
      </c>
      <c r="K60" s="1">
        <v>0</v>
      </c>
      <c r="L60" s="1">
        <v>0</v>
      </c>
      <c r="M60" s="1">
        <v>0</v>
      </c>
    </row>
    <row r="61" spans="1:13" ht="14.4">
      <c r="A61" s="2">
        <v>60</v>
      </c>
      <c r="B61" s="2">
        <v>60</v>
      </c>
      <c r="C61" s="2" t="s">
        <v>20</v>
      </c>
      <c r="D61" s="8" t="s">
        <v>47</v>
      </c>
      <c r="E61" s="1">
        <v>2019</v>
      </c>
      <c r="F61" s="1" t="s">
        <v>20</v>
      </c>
      <c r="G61" s="1" t="s">
        <v>20</v>
      </c>
      <c r="H61" s="1" t="s">
        <v>20</v>
      </c>
      <c r="I61" s="1" t="s">
        <v>20</v>
      </c>
      <c r="J61" s="1">
        <v>0</v>
      </c>
      <c r="K61" s="1">
        <v>0</v>
      </c>
      <c r="L61" s="1">
        <v>0</v>
      </c>
      <c r="M61" s="1">
        <v>0</v>
      </c>
    </row>
    <row r="62" spans="1:13" ht="14.4">
      <c r="A62" s="2">
        <v>61</v>
      </c>
      <c r="B62" s="2">
        <v>61</v>
      </c>
      <c r="C62" s="2" t="s">
        <v>15</v>
      </c>
      <c r="D62" s="8" t="s">
        <v>47</v>
      </c>
      <c r="E62" s="1">
        <v>2019</v>
      </c>
      <c r="F62" s="1" t="s">
        <v>15</v>
      </c>
      <c r="G62" s="1" t="s">
        <v>15</v>
      </c>
      <c r="H62" s="1" t="s">
        <v>15</v>
      </c>
      <c r="I62" s="1" t="s">
        <v>15</v>
      </c>
      <c r="J62" s="1">
        <v>0</v>
      </c>
      <c r="K62" s="1">
        <v>0</v>
      </c>
      <c r="L62" s="1">
        <v>0</v>
      </c>
      <c r="M62" s="1">
        <v>0</v>
      </c>
    </row>
    <row r="63" spans="1:13" ht="14.4">
      <c r="A63" s="2">
        <v>62</v>
      </c>
      <c r="B63" s="2">
        <v>62</v>
      </c>
      <c r="C63" s="2" t="s">
        <v>20</v>
      </c>
      <c r="D63" s="8" t="s">
        <v>47</v>
      </c>
      <c r="E63" s="1">
        <v>2019</v>
      </c>
      <c r="F63" s="1" t="s">
        <v>15</v>
      </c>
      <c r="G63" s="1" t="s">
        <v>20</v>
      </c>
      <c r="H63" s="1" t="s">
        <v>20</v>
      </c>
      <c r="I63" s="1" t="s">
        <v>20</v>
      </c>
      <c r="J63" s="1">
        <v>0</v>
      </c>
      <c r="K63" s="1">
        <v>0</v>
      </c>
      <c r="L63" s="1">
        <v>0</v>
      </c>
      <c r="M63" s="1">
        <v>0</v>
      </c>
    </row>
    <row r="64" spans="1:13" ht="14.4">
      <c r="A64" s="2">
        <v>63</v>
      </c>
      <c r="B64" s="2">
        <v>63</v>
      </c>
      <c r="C64" s="2" t="s">
        <v>13</v>
      </c>
      <c r="D64" s="8" t="s">
        <v>47</v>
      </c>
      <c r="E64" s="1">
        <v>2019</v>
      </c>
      <c r="F64" s="1" t="s">
        <v>13</v>
      </c>
      <c r="G64" s="1" t="s">
        <v>13</v>
      </c>
      <c r="H64" s="1" t="s">
        <v>13</v>
      </c>
      <c r="I64" s="1" t="s">
        <v>13</v>
      </c>
      <c r="J64" s="1">
        <v>0</v>
      </c>
      <c r="K64" s="1">
        <v>1</v>
      </c>
      <c r="L64" s="1">
        <v>1</v>
      </c>
      <c r="M64" s="1">
        <v>0</v>
      </c>
    </row>
    <row r="65" spans="1:13" ht="14.4">
      <c r="A65" s="2">
        <v>64</v>
      </c>
      <c r="B65" s="2">
        <v>64</v>
      </c>
      <c r="C65" s="2" t="s">
        <v>13</v>
      </c>
      <c r="D65" s="8" t="s">
        <v>47</v>
      </c>
      <c r="E65" s="1">
        <v>2019</v>
      </c>
      <c r="F65" s="1" t="s">
        <v>13</v>
      </c>
      <c r="G65" s="1" t="s">
        <v>13</v>
      </c>
      <c r="H65" s="1" t="s">
        <v>13</v>
      </c>
      <c r="I65" s="1" t="s">
        <v>13</v>
      </c>
      <c r="J65" s="1">
        <v>0</v>
      </c>
      <c r="K65" s="1">
        <v>0</v>
      </c>
      <c r="L65" s="1">
        <v>0</v>
      </c>
      <c r="M65" s="1">
        <v>0</v>
      </c>
    </row>
    <row r="66" spans="1:13" ht="14.4">
      <c r="A66" s="2">
        <v>65</v>
      </c>
      <c r="B66" s="2">
        <v>65</v>
      </c>
      <c r="C66" s="2" t="s">
        <v>13</v>
      </c>
      <c r="D66" s="8" t="s">
        <v>47</v>
      </c>
      <c r="E66" s="1">
        <v>2019</v>
      </c>
      <c r="F66" s="1" t="s">
        <v>13</v>
      </c>
      <c r="G66" s="1" t="s">
        <v>13</v>
      </c>
      <c r="H66" s="1" t="s">
        <v>13</v>
      </c>
      <c r="I66" s="1" t="s">
        <v>13</v>
      </c>
      <c r="J66" s="1">
        <v>0</v>
      </c>
      <c r="K66" s="1">
        <v>0</v>
      </c>
      <c r="L66" s="1">
        <v>0</v>
      </c>
      <c r="M66" s="1">
        <v>0</v>
      </c>
    </row>
    <row r="67" spans="1:13" ht="14.4">
      <c r="A67" s="2">
        <v>66</v>
      </c>
      <c r="B67" s="2">
        <v>66</v>
      </c>
      <c r="C67" s="2" t="s">
        <v>20</v>
      </c>
      <c r="D67" s="8" t="s">
        <v>47</v>
      </c>
      <c r="E67" s="1">
        <v>2019</v>
      </c>
      <c r="F67" s="1" t="s">
        <v>20</v>
      </c>
      <c r="G67" s="1" t="s">
        <v>20</v>
      </c>
      <c r="H67" s="1" t="s">
        <v>20</v>
      </c>
      <c r="I67" s="1" t="s">
        <v>20</v>
      </c>
      <c r="J67" s="1">
        <v>0</v>
      </c>
      <c r="K67" s="1">
        <v>0</v>
      </c>
      <c r="L67" s="1">
        <v>0</v>
      </c>
      <c r="M67" s="1">
        <v>0</v>
      </c>
    </row>
    <row r="68" spans="1:13" ht="14.4">
      <c r="A68" s="2">
        <v>67</v>
      </c>
      <c r="B68" s="2">
        <v>67</v>
      </c>
      <c r="C68" s="2" t="s">
        <v>18</v>
      </c>
      <c r="D68" s="8" t="s">
        <v>47</v>
      </c>
      <c r="E68" s="1">
        <v>2019</v>
      </c>
      <c r="F68" s="1" t="s">
        <v>18</v>
      </c>
      <c r="G68" s="1" t="s">
        <v>18</v>
      </c>
      <c r="H68" s="1" t="s">
        <v>18</v>
      </c>
      <c r="I68" s="1" t="s">
        <v>18</v>
      </c>
      <c r="J68" s="1">
        <v>0</v>
      </c>
      <c r="K68" s="1">
        <v>0</v>
      </c>
      <c r="L68" s="1">
        <v>0</v>
      </c>
      <c r="M68" s="1">
        <v>0</v>
      </c>
    </row>
    <row r="69" spans="1:13" ht="14.4">
      <c r="A69" s="2">
        <v>68</v>
      </c>
      <c r="B69" s="2">
        <v>68</v>
      </c>
      <c r="C69" s="2" t="s">
        <v>18</v>
      </c>
      <c r="D69" s="8" t="s">
        <v>47</v>
      </c>
      <c r="E69" s="1">
        <v>2019</v>
      </c>
      <c r="F69" s="1" t="s">
        <v>18</v>
      </c>
      <c r="G69" s="1" t="s">
        <v>16</v>
      </c>
      <c r="H69" s="1" t="s">
        <v>20</v>
      </c>
      <c r="I69" s="1" t="s">
        <v>18</v>
      </c>
      <c r="J69" s="1">
        <v>0</v>
      </c>
      <c r="K69" s="1">
        <v>1</v>
      </c>
      <c r="L69" s="1">
        <v>0</v>
      </c>
      <c r="M69" s="1">
        <v>0</v>
      </c>
    </row>
    <row r="70" spans="1:13" ht="14.4">
      <c r="A70" s="2">
        <v>69</v>
      </c>
      <c r="B70" s="2">
        <v>69</v>
      </c>
      <c r="C70" s="2" t="s">
        <v>20</v>
      </c>
      <c r="D70" s="8" t="s">
        <v>47</v>
      </c>
      <c r="E70" s="1">
        <v>2019</v>
      </c>
      <c r="F70" s="1" t="s">
        <v>20</v>
      </c>
      <c r="G70" s="1" t="s">
        <v>20</v>
      </c>
      <c r="H70" s="1" t="s">
        <v>20</v>
      </c>
      <c r="I70" s="1" t="s">
        <v>20</v>
      </c>
      <c r="J70" s="1">
        <v>0</v>
      </c>
      <c r="K70" s="1">
        <v>0</v>
      </c>
      <c r="L70" s="1">
        <v>0</v>
      </c>
      <c r="M70" s="1">
        <v>0</v>
      </c>
    </row>
    <row r="71" spans="1:13" ht="14.4">
      <c r="A71" s="2">
        <v>70</v>
      </c>
      <c r="B71" s="2">
        <v>70</v>
      </c>
      <c r="C71" s="2" t="s">
        <v>16</v>
      </c>
      <c r="D71" s="8" t="s">
        <v>47</v>
      </c>
      <c r="E71" s="1">
        <v>2019</v>
      </c>
      <c r="F71" s="1" t="s">
        <v>15</v>
      </c>
      <c r="G71" s="1" t="s">
        <v>13</v>
      </c>
      <c r="H71" s="1" t="s">
        <v>15</v>
      </c>
      <c r="I71" s="1" t="s">
        <v>13</v>
      </c>
      <c r="J71" s="1">
        <v>0</v>
      </c>
      <c r="K71" s="1">
        <v>0</v>
      </c>
      <c r="L71" s="1">
        <v>0</v>
      </c>
      <c r="M71" s="1">
        <v>0</v>
      </c>
    </row>
    <row r="72" spans="1:13" ht="14.4">
      <c r="A72" s="2">
        <v>71</v>
      </c>
      <c r="B72" s="1">
        <v>1</v>
      </c>
      <c r="C72" s="1" t="s">
        <v>15</v>
      </c>
      <c r="D72" s="1" t="s">
        <v>14</v>
      </c>
      <c r="E72" s="1">
        <v>2022</v>
      </c>
    </row>
    <row r="73" spans="1:13" ht="14.4">
      <c r="A73" s="2">
        <v>72</v>
      </c>
      <c r="B73" s="1">
        <v>2</v>
      </c>
      <c r="C73" s="1" t="s">
        <v>13</v>
      </c>
      <c r="D73" s="1" t="s">
        <v>14</v>
      </c>
      <c r="E73" s="1">
        <v>2022</v>
      </c>
    </row>
    <row r="74" spans="1:13" ht="14.4">
      <c r="A74" s="2">
        <v>73</v>
      </c>
      <c r="B74" s="1">
        <v>3</v>
      </c>
      <c r="C74" s="1" t="s">
        <v>13</v>
      </c>
      <c r="D74" s="1" t="s">
        <v>17</v>
      </c>
      <c r="E74" s="1">
        <v>2022</v>
      </c>
    </row>
    <row r="75" spans="1:13" ht="14.4">
      <c r="A75" s="2">
        <v>74</v>
      </c>
      <c r="B75" s="1">
        <v>4</v>
      </c>
      <c r="C75" s="1" t="s">
        <v>15</v>
      </c>
      <c r="D75" s="1" t="s">
        <v>17</v>
      </c>
      <c r="E75" s="1">
        <v>2022</v>
      </c>
    </row>
    <row r="76" spans="1:13" ht="14.4">
      <c r="A76" s="2">
        <v>75</v>
      </c>
      <c r="B76" s="1">
        <v>5</v>
      </c>
      <c r="C76" s="1" t="s">
        <v>13</v>
      </c>
      <c r="D76" s="1" t="s">
        <v>39</v>
      </c>
      <c r="E76" s="1">
        <v>2022</v>
      </c>
    </row>
    <row r="77" spans="1:13" ht="14.4">
      <c r="A77" s="2">
        <v>76</v>
      </c>
      <c r="B77" s="1">
        <v>6</v>
      </c>
      <c r="C77" s="1" t="s">
        <v>13</v>
      </c>
      <c r="D77" s="1" t="s">
        <v>39</v>
      </c>
      <c r="E77" s="1">
        <v>2022</v>
      </c>
    </row>
    <row r="78" spans="1:13" ht="14.4">
      <c r="A78" s="2">
        <v>77</v>
      </c>
      <c r="B78" s="1">
        <v>7</v>
      </c>
      <c r="C78" s="1" t="s">
        <v>15</v>
      </c>
      <c r="D78" s="1" t="s">
        <v>14</v>
      </c>
      <c r="E78" s="1">
        <v>2022</v>
      </c>
    </row>
    <row r="79" spans="1:13" ht="14.4">
      <c r="A79" s="2">
        <v>78</v>
      </c>
      <c r="B79" s="1">
        <v>8</v>
      </c>
      <c r="C79" s="1" t="s">
        <v>16</v>
      </c>
      <c r="D79" s="1" t="s">
        <v>17</v>
      </c>
      <c r="E79" s="1">
        <v>2022</v>
      </c>
    </row>
    <row r="80" spans="1:13" ht="14.4">
      <c r="A80" s="2">
        <v>79</v>
      </c>
      <c r="B80" s="1">
        <v>9</v>
      </c>
      <c r="C80" s="1" t="s">
        <v>20</v>
      </c>
      <c r="D80" s="1" t="s">
        <v>19</v>
      </c>
      <c r="E80" s="1">
        <v>2022</v>
      </c>
    </row>
    <row r="81" spans="1:5" ht="14.4">
      <c r="A81" s="2">
        <v>80</v>
      </c>
      <c r="B81" s="1">
        <v>10</v>
      </c>
      <c r="C81" s="1" t="s">
        <v>13</v>
      </c>
      <c r="D81" s="1" t="s">
        <v>39</v>
      </c>
      <c r="E81" s="1">
        <v>2022</v>
      </c>
    </row>
    <row r="82" spans="1:5" ht="14.4">
      <c r="A82" s="2">
        <v>81</v>
      </c>
      <c r="B82" s="1">
        <v>11</v>
      </c>
      <c r="C82" s="1" t="s">
        <v>16</v>
      </c>
      <c r="D82" s="1" t="s">
        <v>21</v>
      </c>
      <c r="E82" s="1">
        <v>2022</v>
      </c>
    </row>
    <row r="83" spans="1:5" ht="14.4">
      <c r="A83" s="2">
        <v>82</v>
      </c>
      <c r="B83" s="1">
        <v>12</v>
      </c>
      <c r="C83" s="1" t="s">
        <v>18</v>
      </c>
      <c r="D83" s="1" t="s">
        <v>21</v>
      </c>
      <c r="E83" s="1">
        <v>2022</v>
      </c>
    </row>
    <row r="84" spans="1:5" ht="14.4">
      <c r="A84" s="2">
        <v>83</v>
      </c>
      <c r="B84" s="1">
        <v>13</v>
      </c>
      <c r="C84" s="1" t="s">
        <v>13</v>
      </c>
      <c r="D84" s="1" t="s">
        <v>22</v>
      </c>
      <c r="E84" s="1">
        <v>2022</v>
      </c>
    </row>
    <row r="85" spans="1:5" ht="14.4">
      <c r="A85" s="2">
        <v>84</v>
      </c>
      <c r="B85" s="1">
        <v>14</v>
      </c>
      <c r="C85" s="1" t="s">
        <v>16</v>
      </c>
      <c r="D85" s="1" t="s">
        <v>19</v>
      </c>
      <c r="E85" s="1">
        <v>2022</v>
      </c>
    </row>
    <row r="86" spans="1:5" ht="14.4">
      <c r="A86" s="2">
        <v>85</v>
      </c>
      <c r="B86" s="1">
        <v>15</v>
      </c>
      <c r="C86" s="1" t="s">
        <v>20</v>
      </c>
      <c r="D86" s="1" t="s">
        <v>21</v>
      </c>
      <c r="E86" s="1">
        <v>2022</v>
      </c>
    </row>
    <row r="87" spans="1:5" ht="14.4">
      <c r="A87" s="2">
        <v>86</v>
      </c>
      <c r="B87" s="1">
        <v>16</v>
      </c>
      <c r="C87" s="1" t="s">
        <v>13</v>
      </c>
      <c r="D87" s="1" t="s">
        <v>19</v>
      </c>
      <c r="E87" s="1">
        <v>2022</v>
      </c>
    </row>
    <row r="88" spans="1:5" ht="14.4">
      <c r="A88" s="2">
        <v>87</v>
      </c>
      <c r="B88" s="1">
        <v>17</v>
      </c>
      <c r="C88" s="1" t="s">
        <v>16</v>
      </c>
      <c r="D88" s="1" t="s">
        <v>22</v>
      </c>
      <c r="E88" s="1">
        <v>2022</v>
      </c>
    </row>
    <row r="89" spans="1:5" ht="14.4">
      <c r="A89" s="2">
        <v>88</v>
      </c>
      <c r="B89" s="1">
        <v>18</v>
      </c>
      <c r="C89" s="1" t="s">
        <v>15</v>
      </c>
      <c r="D89" s="1" t="s">
        <v>40</v>
      </c>
      <c r="E89" s="1">
        <v>2022</v>
      </c>
    </row>
    <row r="90" spans="1:5" ht="14.4">
      <c r="A90" s="2">
        <v>89</v>
      </c>
      <c r="B90" s="1">
        <v>19</v>
      </c>
      <c r="C90" s="1" t="s">
        <v>15</v>
      </c>
      <c r="D90" s="1" t="s">
        <v>22</v>
      </c>
      <c r="E90" s="1">
        <v>2022</v>
      </c>
    </row>
    <row r="91" spans="1:5" ht="14.4">
      <c r="A91" s="2">
        <v>90</v>
      </c>
      <c r="B91" s="1">
        <v>20</v>
      </c>
      <c r="C91" s="1" t="s">
        <v>18</v>
      </c>
      <c r="D91" s="1" t="s">
        <v>40</v>
      </c>
      <c r="E91" s="1">
        <v>2022</v>
      </c>
    </row>
    <row r="92" spans="1:5" ht="14.4">
      <c r="A92" s="2">
        <v>91</v>
      </c>
      <c r="B92" s="1">
        <v>21</v>
      </c>
      <c r="C92" s="1" t="s">
        <v>18</v>
      </c>
      <c r="D92" s="1" t="s">
        <v>24</v>
      </c>
      <c r="E92" s="1">
        <v>2022</v>
      </c>
    </row>
    <row r="93" spans="1:5" ht="14.4">
      <c r="A93" s="2">
        <v>92</v>
      </c>
      <c r="B93" s="1">
        <v>22</v>
      </c>
      <c r="C93" s="1" t="s">
        <v>20</v>
      </c>
      <c r="D93" s="1" t="s">
        <v>24</v>
      </c>
      <c r="E93" s="1">
        <v>2022</v>
      </c>
    </row>
    <row r="94" spans="1:5" ht="14.4">
      <c r="A94" s="2">
        <v>93</v>
      </c>
      <c r="B94" s="1">
        <v>23</v>
      </c>
      <c r="C94" s="1" t="s">
        <v>20</v>
      </c>
      <c r="D94" s="1" t="s">
        <v>41</v>
      </c>
      <c r="E94" s="1">
        <v>2022</v>
      </c>
    </row>
    <row r="95" spans="1:5" ht="14.4">
      <c r="A95" s="2">
        <v>94</v>
      </c>
      <c r="B95" s="1">
        <v>24</v>
      </c>
      <c r="C95" s="1" t="s">
        <v>15</v>
      </c>
      <c r="D95" s="1" t="s">
        <v>41</v>
      </c>
      <c r="E95" s="1">
        <v>2022</v>
      </c>
    </row>
    <row r="96" spans="1:5" ht="14.4">
      <c r="A96" s="2">
        <v>95</v>
      </c>
      <c r="B96" s="1">
        <v>25</v>
      </c>
      <c r="C96" s="1" t="s">
        <v>13</v>
      </c>
      <c r="D96" s="1" t="s">
        <v>24</v>
      </c>
      <c r="E96" s="1">
        <v>2022</v>
      </c>
    </row>
    <row r="97" spans="1:5" ht="14.4">
      <c r="A97" s="2">
        <v>96</v>
      </c>
      <c r="B97" s="1">
        <v>26</v>
      </c>
      <c r="C97" s="1" t="s">
        <v>13</v>
      </c>
      <c r="D97" s="1" t="s">
        <v>41</v>
      </c>
      <c r="E97" s="1">
        <v>2022</v>
      </c>
    </row>
    <row r="98" spans="1:5" ht="14.4">
      <c r="A98" s="2">
        <v>97</v>
      </c>
      <c r="B98" s="1">
        <v>27</v>
      </c>
      <c r="C98" s="1" t="s">
        <v>16</v>
      </c>
      <c r="D98" s="1" t="s">
        <v>25</v>
      </c>
      <c r="E98" s="1">
        <v>2022</v>
      </c>
    </row>
    <row r="99" spans="1:5" ht="14.4">
      <c r="A99" s="2">
        <v>98</v>
      </c>
      <c r="B99" s="1">
        <v>28</v>
      </c>
      <c r="C99" s="1" t="s">
        <v>20</v>
      </c>
      <c r="D99" s="1" t="s">
        <v>25</v>
      </c>
      <c r="E99" s="1">
        <v>2022</v>
      </c>
    </row>
    <row r="100" spans="1:5" ht="14.4">
      <c r="A100" s="2">
        <v>99</v>
      </c>
      <c r="B100" s="1">
        <v>29</v>
      </c>
      <c r="C100" s="1" t="s">
        <v>16</v>
      </c>
      <c r="D100" s="1" t="s">
        <v>42</v>
      </c>
      <c r="E100" s="1">
        <v>2022</v>
      </c>
    </row>
    <row r="101" spans="1:5" ht="14.4">
      <c r="A101" s="2">
        <v>100</v>
      </c>
      <c r="B101" s="1">
        <v>30</v>
      </c>
      <c r="C101" s="1" t="s">
        <v>18</v>
      </c>
      <c r="D101" s="1" t="s">
        <v>27</v>
      </c>
      <c r="E101" s="1">
        <v>2022</v>
      </c>
    </row>
    <row r="102" spans="1:5" ht="14.4">
      <c r="A102" s="2">
        <v>101</v>
      </c>
      <c r="B102" s="1">
        <v>31</v>
      </c>
      <c r="C102" s="1" t="s">
        <v>15</v>
      </c>
      <c r="D102" s="1" t="s">
        <v>25</v>
      </c>
      <c r="E102" s="1">
        <v>2022</v>
      </c>
    </row>
    <row r="103" spans="1:5" ht="14.4">
      <c r="A103" s="2">
        <v>102</v>
      </c>
      <c r="B103" s="1">
        <v>32</v>
      </c>
      <c r="C103" s="1" t="s">
        <v>15</v>
      </c>
      <c r="D103" s="1" t="s">
        <v>28</v>
      </c>
      <c r="E103" s="1">
        <v>2022</v>
      </c>
    </row>
    <row r="104" spans="1:5" ht="14.4">
      <c r="A104" s="2">
        <v>103</v>
      </c>
      <c r="B104" s="1">
        <v>33</v>
      </c>
      <c r="C104" s="1" t="s">
        <v>16</v>
      </c>
      <c r="D104" s="1" t="s">
        <v>27</v>
      </c>
      <c r="E104" s="1">
        <v>2022</v>
      </c>
    </row>
    <row r="105" spans="1:5" ht="14.4">
      <c r="A105" s="2">
        <v>104</v>
      </c>
      <c r="B105" s="1">
        <v>34</v>
      </c>
      <c r="C105" s="1" t="s">
        <v>16</v>
      </c>
      <c r="D105" s="1" t="s">
        <v>42</v>
      </c>
      <c r="E105" s="1">
        <v>2022</v>
      </c>
    </row>
    <row r="106" spans="1:5" ht="14.4">
      <c r="A106" s="2">
        <v>105</v>
      </c>
      <c r="B106" s="1">
        <v>35</v>
      </c>
      <c r="C106" s="1" t="s">
        <v>13</v>
      </c>
      <c r="D106" s="1" t="s">
        <v>42</v>
      </c>
      <c r="E106" s="1">
        <v>2022</v>
      </c>
    </row>
    <row r="107" spans="1:5" ht="14.4">
      <c r="A107" s="2">
        <v>106</v>
      </c>
      <c r="B107" s="1">
        <v>36</v>
      </c>
      <c r="C107" s="1" t="s">
        <v>20</v>
      </c>
      <c r="D107" s="1" t="s">
        <v>28</v>
      </c>
      <c r="E107" s="1">
        <v>2022</v>
      </c>
    </row>
    <row r="108" spans="1:5" ht="14.4">
      <c r="A108" s="2">
        <v>107</v>
      </c>
      <c r="B108" s="1">
        <v>37</v>
      </c>
      <c r="C108" s="1" t="s">
        <v>18</v>
      </c>
      <c r="D108" s="1" t="s">
        <v>28</v>
      </c>
      <c r="E108" s="1">
        <v>2022</v>
      </c>
    </row>
    <row r="109" spans="1:5" ht="14.4">
      <c r="A109" s="2">
        <v>108</v>
      </c>
      <c r="B109" s="1">
        <v>38</v>
      </c>
      <c r="C109" s="1" t="s">
        <v>13</v>
      </c>
      <c r="D109" s="1" t="s">
        <v>27</v>
      </c>
      <c r="E109" s="1">
        <v>2022</v>
      </c>
    </row>
    <row r="110" spans="1:5" ht="14.4">
      <c r="A110" s="2">
        <v>109</v>
      </c>
      <c r="B110" s="1">
        <v>39</v>
      </c>
      <c r="C110" s="1" t="s">
        <v>13</v>
      </c>
      <c r="D110" s="1" t="s">
        <v>43</v>
      </c>
      <c r="E110" s="1">
        <v>2022</v>
      </c>
    </row>
    <row r="111" spans="1:5" ht="14.4">
      <c r="A111" s="2">
        <v>110</v>
      </c>
      <c r="B111" s="1">
        <v>40</v>
      </c>
      <c r="C111" s="1" t="s">
        <v>26</v>
      </c>
      <c r="D111" s="1" t="s">
        <v>43</v>
      </c>
      <c r="E111" s="1">
        <v>2022</v>
      </c>
    </row>
    <row r="112" spans="1:5" ht="14.4">
      <c r="A112" s="2">
        <v>111</v>
      </c>
      <c r="B112" s="1">
        <v>41</v>
      </c>
      <c r="C112" s="1" t="s">
        <v>20</v>
      </c>
      <c r="D112" s="1" t="s">
        <v>43</v>
      </c>
      <c r="E112" s="1">
        <v>2022</v>
      </c>
    </row>
    <row r="113" spans="1:5" ht="14.4">
      <c r="A113" s="2">
        <v>112</v>
      </c>
      <c r="B113" s="1">
        <v>42</v>
      </c>
      <c r="C113" s="1" t="s">
        <v>15</v>
      </c>
      <c r="D113" s="1" t="s">
        <v>29</v>
      </c>
      <c r="E113" s="1">
        <v>2022</v>
      </c>
    </row>
    <row r="114" spans="1:5" ht="14.4">
      <c r="A114" s="2">
        <v>113</v>
      </c>
      <c r="B114" s="1">
        <v>43</v>
      </c>
      <c r="C114" s="1" t="s">
        <v>16</v>
      </c>
      <c r="D114" s="1" t="s">
        <v>29</v>
      </c>
      <c r="E114" s="1">
        <v>2022</v>
      </c>
    </row>
    <row r="115" spans="1:5" ht="14.4">
      <c r="A115" s="2">
        <v>114</v>
      </c>
      <c r="B115" s="1">
        <v>44</v>
      </c>
      <c r="C115" s="1" t="s">
        <v>16</v>
      </c>
      <c r="D115" s="1" t="s">
        <v>44</v>
      </c>
      <c r="E115" s="1">
        <v>2022</v>
      </c>
    </row>
    <row r="116" spans="1:5" ht="14.4">
      <c r="A116" s="2">
        <v>115</v>
      </c>
      <c r="B116" s="1">
        <v>45</v>
      </c>
      <c r="C116" s="1" t="s">
        <v>16</v>
      </c>
      <c r="D116" s="1" t="s">
        <v>30</v>
      </c>
      <c r="E116" s="1">
        <v>2022</v>
      </c>
    </row>
    <row r="117" spans="1:5" ht="14.4">
      <c r="A117" s="2">
        <v>116</v>
      </c>
      <c r="B117" s="1">
        <v>46</v>
      </c>
      <c r="C117" s="1" t="s">
        <v>15</v>
      </c>
      <c r="D117" s="1" t="s">
        <v>30</v>
      </c>
      <c r="E117" s="1">
        <v>2022</v>
      </c>
    </row>
    <row r="118" spans="1:5" ht="14.4">
      <c r="A118" s="2">
        <v>117</v>
      </c>
      <c r="B118" s="1">
        <v>47</v>
      </c>
      <c r="C118" s="1" t="s">
        <v>16</v>
      </c>
      <c r="D118" s="1" t="s">
        <v>29</v>
      </c>
      <c r="E118" s="1">
        <v>2022</v>
      </c>
    </row>
    <row r="119" spans="1:5" ht="14.4">
      <c r="A119" s="2">
        <v>118</v>
      </c>
      <c r="B119" s="1">
        <v>48</v>
      </c>
      <c r="C119" s="1" t="s">
        <v>15</v>
      </c>
      <c r="D119" s="1" t="s">
        <v>44</v>
      </c>
      <c r="E119" s="1">
        <v>2022</v>
      </c>
    </row>
    <row r="120" spans="1:5" ht="14.4">
      <c r="A120" s="2">
        <v>119</v>
      </c>
      <c r="B120" s="1">
        <v>49</v>
      </c>
      <c r="C120" s="1" t="s">
        <v>16</v>
      </c>
      <c r="D120" s="1" t="s">
        <v>44</v>
      </c>
      <c r="E120" s="1">
        <v>2022</v>
      </c>
    </row>
    <row r="121" spans="1:5" ht="14.4">
      <c r="A121" s="2">
        <v>120</v>
      </c>
      <c r="B121" s="1">
        <v>50</v>
      </c>
      <c r="C121" s="1" t="s">
        <v>20</v>
      </c>
      <c r="D121" s="1" t="s">
        <v>30</v>
      </c>
      <c r="E121" s="1">
        <v>2022</v>
      </c>
    </row>
    <row r="122" spans="1:5" ht="14.4">
      <c r="A122" s="2">
        <v>121</v>
      </c>
      <c r="B122" s="1">
        <v>51</v>
      </c>
      <c r="C122" s="1" t="s">
        <v>15</v>
      </c>
      <c r="D122" s="1" t="s">
        <v>31</v>
      </c>
      <c r="E122" s="1">
        <v>2022</v>
      </c>
    </row>
    <row r="123" spans="1:5" ht="14.4">
      <c r="A123" s="2">
        <v>122</v>
      </c>
      <c r="B123" s="1">
        <v>52</v>
      </c>
      <c r="C123" s="1" t="s">
        <v>20</v>
      </c>
      <c r="D123" s="1" t="s">
        <v>31</v>
      </c>
      <c r="E123" s="1">
        <v>2022</v>
      </c>
    </row>
    <row r="124" spans="1:5" ht="14.4">
      <c r="A124" s="2">
        <v>123</v>
      </c>
      <c r="B124" s="1">
        <v>53</v>
      </c>
      <c r="C124" s="1" t="s">
        <v>15</v>
      </c>
      <c r="D124" s="1" t="s">
        <v>32</v>
      </c>
      <c r="E124" s="1">
        <v>2022</v>
      </c>
    </row>
    <row r="125" spans="1:5" ht="14.4">
      <c r="A125" s="2">
        <v>124</v>
      </c>
      <c r="B125" s="1">
        <v>54</v>
      </c>
      <c r="C125" s="1" t="s">
        <v>15</v>
      </c>
      <c r="D125" s="1" t="s">
        <v>33</v>
      </c>
      <c r="E125" s="1">
        <v>2022</v>
      </c>
    </row>
    <row r="126" spans="1:5" ht="14.4">
      <c r="A126" s="2">
        <v>125</v>
      </c>
      <c r="B126" s="1">
        <v>55</v>
      </c>
      <c r="C126" s="1" t="s">
        <v>18</v>
      </c>
      <c r="D126" s="1" t="s">
        <v>31</v>
      </c>
      <c r="E126" s="1">
        <v>2022</v>
      </c>
    </row>
    <row r="127" spans="1:5" ht="14.4">
      <c r="A127" s="2">
        <v>126</v>
      </c>
      <c r="B127" s="1">
        <v>56</v>
      </c>
      <c r="C127" s="1" t="s">
        <v>16</v>
      </c>
      <c r="D127" s="1" t="s">
        <v>32</v>
      </c>
      <c r="E127" s="1">
        <v>2022</v>
      </c>
    </row>
    <row r="128" spans="1:5" ht="14.4">
      <c r="A128" s="2">
        <v>127</v>
      </c>
      <c r="B128" s="1">
        <v>57</v>
      </c>
      <c r="C128" s="1" t="s">
        <v>20</v>
      </c>
      <c r="D128" s="1" t="s">
        <v>34</v>
      </c>
      <c r="E128" s="1">
        <v>2022</v>
      </c>
    </row>
    <row r="129" spans="1:8" ht="14.4">
      <c r="A129" s="2">
        <v>128</v>
      </c>
      <c r="B129" s="1">
        <v>58</v>
      </c>
      <c r="C129" s="1" t="s">
        <v>15</v>
      </c>
      <c r="D129" s="1" t="s">
        <v>34</v>
      </c>
      <c r="E129" s="1">
        <v>2022</v>
      </c>
    </row>
    <row r="130" spans="1:8" ht="14.4">
      <c r="A130" s="2">
        <v>129</v>
      </c>
      <c r="B130" s="1">
        <v>59</v>
      </c>
      <c r="C130" s="1" t="s">
        <v>16</v>
      </c>
      <c r="D130" s="1" t="s">
        <v>35</v>
      </c>
      <c r="E130" s="1">
        <v>2022</v>
      </c>
    </row>
    <row r="131" spans="1:8" ht="14.4">
      <c r="A131" s="2">
        <v>130</v>
      </c>
      <c r="B131" s="1">
        <v>60</v>
      </c>
      <c r="C131" s="1" t="s">
        <v>15</v>
      </c>
      <c r="D131" s="1" t="s">
        <v>33</v>
      </c>
      <c r="E131" s="1">
        <v>2022</v>
      </c>
    </row>
    <row r="132" spans="1:8" ht="14.4">
      <c r="A132" s="2">
        <v>131</v>
      </c>
      <c r="B132" s="1">
        <v>61</v>
      </c>
      <c r="C132" s="1" t="s">
        <v>18</v>
      </c>
      <c r="D132" s="1" t="s">
        <v>35</v>
      </c>
      <c r="E132" s="1">
        <v>2022</v>
      </c>
    </row>
    <row r="133" spans="1:8" ht="14.4">
      <c r="A133" s="2">
        <v>132</v>
      </c>
      <c r="B133" s="1">
        <v>62</v>
      </c>
      <c r="C133" s="1" t="s">
        <v>15</v>
      </c>
      <c r="D133" s="1" t="s">
        <v>36</v>
      </c>
      <c r="E133" s="1">
        <v>2022</v>
      </c>
    </row>
    <row r="134" spans="1:8" ht="14.4">
      <c r="A134" s="2">
        <v>133</v>
      </c>
      <c r="B134" s="1">
        <v>63</v>
      </c>
      <c r="C134" s="1" t="s">
        <v>16</v>
      </c>
      <c r="D134" s="1" t="s">
        <v>37</v>
      </c>
      <c r="E134" s="1">
        <v>2022</v>
      </c>
    </row>
    <row r="135" spans="1:8" ht="14.4">
      <c r="A135" s="2">
        <v>134</v>
      </c>
      <c r="B135" s="1">
        <v>64</v>
      </c>
      <c r="C135" s="1" t="s">
        <v>18</v>
      </c>
      <c r="D135" s="1" t="s">
        <v>36</v>
      </c>
      <c r="E135" s="1">
        <v>2022</v>
      </c>
    </row>
    <row r="136" spans="1:8" ht="14.4">
      <c r="A136" s="2">
        <v>135</v>
      </c>
      <c r="B136" s="1">
        <v>65</v>
      </c>
      <c r="C136" s="1" t="s">
        <v>18</v>
      </c>
      <c r="D136" s="1" t="s">
        <v>33</v>
      </c>
      <c r="E136" s="1">
        <v>2022</v>
      </c>
    </row>
    <row r="137" spans="1:8" ht="14.4">
      <c r="A137" s="2">
        <v>136</v>
      </c>
      <c r="B137" s="1">
        <v>66</v>
      </c>
      <c r="C137" s="1" t="s">
        <v>20</v>
      </c>
      <c r="D137" s="1" t="s">
        <v>38</v>
      </c>
      <c r="E137" s="1">
        <v>2022</v>
      </c>
    </row>
    <row r="138" spans="1:8" ht="14.4">
      <c r="A138" s="2">
        <v>137</v>
      </c>
      <c r="B138" s="1">
        <v>67</v>
      </c>
      <c r="C138" s="1" t="s">
        <v>13</v>
      </c>
      <c r="D138" s="1" t="s">
        <v>36</v>
      </c>
      <c r="E138" s="1">
        <v>2022</v>
      </c>
    </row>
    <row r="139" spans="1:8" ht="14.4">
      <c r="A139" s="2">
        <v>138</v>
      </c>
      <c r="B139" s="1">
        <v>68</v>
      </c>
      <c r="C139" s="1" t="s">
        <v>18</v>
      </c>
      <c r="D139" s="1" t="s">
        <v>37</v>
      </c>
      <c r="E139" s="1">
        <v>2022</v>
      </c>
    </row>
    <row r="140" spans="1:8" ht="14.4">
      <c r="A140" s="2">
        <v>139</v>
      </c>
      <c r="B140" s="1">
        <v>69</v>
      </c>
      <c r="C140" s="1" t="s">
        <v>16</v>
      </c>
      <c r="D140" s="1" t="s">
        <v>38</v>
      </c>
      <c r="E140" s="1">
        <v>2022</v>
      </c>
    </row>
    <row r="141" spans="1:8" ht="14.4">
      <c r="A141" s="2">
        <v>140</v>
      </c>
      <c r="B141" s="1">
        <v>70</v>
      </c>
      <c r="C141" s="1" t="s">
        <v>18</v>
      </c>
      <c r="D141" s="1" t="s">
        <v>32</v>
      </c>
      <c r="E141" s="1">
        <v>2022</v>
      </c>
    </row>
    <row r="142" spans="1:8" ht="14.4">
      <c r="A142" s="2">
        <v>141</v>
      </c>
      <c r="B142" s="1">
        <v>1</v>
      </c>
      <c r="C142" s="1" t="s">
        <v>13</v>
      </c>
      <c r="D142" s="1" t="s">
        <v>45</v>
      </c>
      <c r="E142" s="1">
        <v>2023</v>
      </c>
      <c r="H142" s="1" t="s">
        <v>13</v>
      </c>
    </row>
    <row r="143" spans="1:8" ht="14.4">
      <c r="A143" s="2">
        <v>142</v>
      </c>
      <c r="B143" s="1">
        <v>2</v>
      </c>
      <c r="C143" s="1" t="s">
        <v>16</v>
      </c>
      <c r="D143" s="1" t="s">
        <v>45</v>
      </c>
      <c r="E143" s="1">
        <v>2023</v>
      </c>
      <c r="H143" s="1" t="s">
        <v>16</v>
      </c>
    </row>
    <row r="144" spans="1:8" ht="14.4">
      <c r="A144" s="2">
        <v>143</v>
      </c>
      <c r="B144" s="1">
        <v>3</v>
      </c>
      <c r="C144" s="1" t="s">
        <v>18</v>
      </c>
      <c r="D144" s="1" t="s">
        <v>45</v>
      </c>
      <c r="E144" s="1">
        <v>2023</v>
      </c>
      <c r="H144" s="1" t="s">
        <v>18</v>
      </c>
    </row>
    <row r="145" spans="1:28" ht="14.4">
      <c r="A145" s="2">
        <v>144</v>
      </c>
      <c r="B145" s="1">
        <v>4</v>
      </c>
      <c r="C145" s="1" t="s">
        <v>16</v>
      </c>
      <c r="D145" s="1" t="s">
        <v>45</v>
      </c>
      <c r="E145" s="1">
        <v>2023</v>
      </c>
      <c r="H145" s="1" t="s">
        <v>16</v>
      </c>
    </row>
    <row r="146" spans="1:28" ht="14.4">
      <c r="A146" s="2">
        <v>145</v>
      </c>
      <c r="B146" s="1">
        <v>5</v>
      </c>
      <c r="C146" s="1" t="s">
        <v>13</v>
      </c>
      <c r="D146" s="1" t="s">
        <v>45</v>
      </c>
      <c r="E146" s="1">
        <v>2023</v>
      </c>
      <c r="H146" s="1" t="s">
        <v>13</v>
      </c>
    </row>
    <row r="147" spans="1:28" ht="14.4">
      <c r="A147" s="2">
        <v>146</v>
      </c>
      <c r="B147" s="1">
        <v>6</v>
      </c>
      <c r="C147" s="1" t="s">
        <v>20</v>
      </c>
      <c r="D147" s="1" t="s">
        <v>45</v>
      </c>
      <c r="E147" s="1">
        <v>2023</v>
      </c>
      <c r="H147" s="1" t="s">
        <v>20</v>
      </c>
    </row>
    <row r="148" spans="1:28" ht="14.4">
      <c r="A148" s="2">
        <v>147</v>
      </c>
      <c r="B148" s="1">
        <v>7</v>
      </c>
      <c r="C148" s="1" t="s">
        <v>20</v>
      </c>
      <c r="D148" s="1" t="s">
        <v>45</v>
      </c>
      <c r="E148" s="1">
        <v>2023</v>
      </c>
      <c r="H148" s="1" t="s">
        <v>20</v>
      </c>
    </row>
    <row r="149" spans="1:28" ht="14.4">
      <c r="A149" s="2">
        <v>148</v>
      </c>
      <c r="B149" s="1">
        <v>8</v>
      </c>
      <c r="C149" s="1" t="s">
        <v>13</v>
      </c>
      <c r="D149" s="1" t="s">
        <v>45</v>
      </c>
      <c r="E149" s="1">
        <v>2023</v>
      </c>
      <c r="H149" s="1" t="s">
        <v>13</v>
      </c>
    </row>
    <row r="150" spans="1:28" ht="14.4">
      <c r="A150" s="2">
        <v>149</v>
      </c>
      <c r="B150" s="1">
        <v>9</v>
      </c>
      <c r="C150" s="1" t="s">
        <v>16</v>
      </c>
      <c r="D150" s="1" t="s">
        <v>45</v>
      </c>
      <c r="E150" s="1">
        <v>2023</v>
      </c>
    </row>
    <row r="151" spans="1:28" ht="14.4">
      <c r="A151" s="2">
        <v>150</v>
      </c>
      <c r="B151" s="1">
        <v>10</v>
      </c>
      <c r="C151" s="1" t="s">
        <v>13</v>
      </c>
      <c r="D151" s="1" t="s">
        <v>45</v>
      </c>
      <c r="E151" s="1">
        <v>2023</v>
      </c>
    </row>
    <row r="152" spans="1:28" ht="14.4">
      <c r="A152" s="2">
        <v>151</v>
      </c>
      <c r="B152" s="1">
        <v>11</v>
      </c>
      <c r="C152" s="1" t="s">
        <v>16</v>
      </c>
      <c r="D152" s="1" t="s">
        <v>45</v>
      </c>
      <c r="E152" s="1">
        <v>2023</v>
      </c>
    </row>
    <row r="153" spans="1:28" ht="14.4">
      <c r="A153" s="2">
        <v>152</v>
      </c>
      <c r="B153" s="1">
        <v>12</v>
      </c>
      <c r="C153" s="1" t="s">
        <v>20</v>
      </c>
      <c r="D153" s="1" t="s">
        <v>45</v>
      </c>
      <c r="E153" s="1">
        <v>2023</v>
      </c>
    </row>
    <row r="154" spans="1:28" ht="14.4">
      <c r="A154" s="2">
        <v>153</v>
      </c>
      <c r="B154" s="1">
        <v>13</v>
      </c>
      <c r="C154" s="1" t="s">
        <v>13</v>
      </c>
      <c r="D154" s="1" t="s">
        <v>45</v>
      </c>
      <c r="E154" s="1">
        <v>2023</v>
      </c>
    </row>
    <row r="155" spans="1:28" ht="14.4">
      <c r="A155" s="2">
        <v>154</v>
      </c>
      <c r="B155" s="1">
        <v>14</v>
      </c>
      <c r="C155" s="1" t="s">
        <v>13</v>
      </c>
      <c r="D155" s="1" t="s">
        <v>45</v>
      </c>
      <c r="E155" s="1">
        <v>2023</v>
      </c>
    </row>
    <row r="156" spans="1:28" ht="14.4">
      <c r="A156" s="2">
        <v>155</v>
      </c>
      <c r="B156" s="1">
        <v>15</v>
      </c>
      <c r="C156" s="1" t="s">
        <v>16</v>
      </c>
      <c r="D156" s="1" t="s">
        <v>45</v>
      </c>
      <c r="E156" s="1">
        <v>2023</v>
      </c>
    </row>
    <row r="157" spans="1:28" ht="14.4">
      <c r="A157" s="2">
        <v>156</v>
      </c>
      <c r="B157" s="1">
        <v>16</v>
      </c>
      <c r="C157" s="1" t="s">
        <v>16</v>
      </c>
      <c r="D157" s="1" t="s">
        <v>45</v>
      </c>
      <c r="E157" s="1">
        <v>2023</v>
      </c>
    </row>
    <row r="158" spans="1:28" ht="14.4">
      <c r="A158" s="5">
        <v>157</v>
      </c>
      <c r="B158" s="6">
        <v>17</v>
      </c>
      <c r="C158" s="6" t="s">
        <v>26</v>
      </c>
      <c r="D158" s="6" t="s">
        <v>45</v>
      </c>
      <c r="E158" s="6">
        <v>2023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4.4">
      <c r="A159" s="2">
        <v>158</v>
      </c>
      <c r="B159" s="1">
        <v>18</v>
      </c>
      <c r="C159" s="1" t="s">
        <v>13</v>
      </c>
      <c r="D159" s="1" t="s">
        <v>45</v>
      </c>
      <c r="E159" s="1">
        <v>2023</v>
      </c>
    </row>
    <row r="160" spans="1:28" ht="14.4">
      <c r="A160" s="2">
        <v>159</v>
      </c>
      <c r="B160" s="1">
        <v>19</v>
      </c>
      <c r="C160" s="1" t="s">
        <v>15</v>
      </c>
      <c r="D160" s="1" t="s">
        <v>45</v>
      </c>
      <c r="E160" s="1">
        <v>2023</v>
      </c>
    </row>
    <row r="161" spans="1:5" ht="14.4">
      <c r="A161" s="2">
        <v>160</v>
      </c>
      <c r="B161" s="1">
        <v>20</v>
      </c>
      <c r="C161" s="1" t="s">
        <v>15</v>
      </c>
      <c r="D161" s="1" t="s">
        <v>45</v>
      </c>
      <c r="E161" s="1">
        <v>2023</v>
      </c>
    </row>
    <row r="162" spans="1:5" ht="14.4">
      <c r="A162" s="2">
        <v>161</v>
      </c>
      <c r="B162" s="1">
        <v>21</v>
      </c>
      <c r="C162" s="1" t="s">
        <v>18</v>
      </c>
      <c r="D162" s="1" t="s">
        <v>46</v>
      </c>
      <c r="E162" s="1">
        <v>2023</v>
      </c>
    </row>
    <row r="163" spans="1:5" ht="14.4">
      <c r="A163" s="2">
        <v>162</v>
      </c>
      <c r="B163" s="1">
        <v>22</v>
      </c>
      <c r="C163" s="1" t="s">
        <v>18</v>
      </c>
      <c r="D163" s="1" t="s">
        <v>46</v>
      </c>
      <c r="E163" s="1">
        <v>2023</v>
      </c>
    </row>
    <row r="164" spans="1:5" ht="14.4">
      <c r="A164" s="2">
        <v>163</v>
      </c>
      <c r="B164" s="1">
        <v>23</v>
      </c>
      <c r="C164" s="1" t="s">
        <v>18</v>
      </c>
      <c r="D164" s="1" t="s">
        <v>46</v>
      </c>
      <c r="E164" s="1">
        <v>2023</v>
      </c>
    </row>
    <row r="165" spans="1:5" ht="14.4">
      <c r="A165" s="2">
        <v>164</v>
      </c>
      <c r="B165" s="1">
        <v>24</v>
      </c>
      <c r="C165" s="1" t="s">
        <v>15</v>
      </c>
      <c r="D165" s="1" t="s">
        <v>46</v>
      </c>
      <c r="E165" s="1">
        <v>2023</v>
      </c>
    </row>
    <row r="166" spans="1:5" ht="14.4">
      <c r="A166" s="2">
        <v>165</v>
      </c>
      <c r="B166" s="1">
        <v>25</v>
      </c>
      <c r="C166" s="1" t="s">
        <v>18</v>
      </c>
      <c r="D166" s="1" t="s">
        <v>46</v>
      </c>
      <c r="E166" s="1">
        <v>2023</v>
      </c>
    </row>
    <row r="167" spans="1:5" ht="14.4">
      <c r="A167" s="2">
        <v>166</v>
      </c>
      <c r="B167" s="1">
        <v>26</v>
      </c>
      <c r="C167" s="1" t="s">
        <v>20</v>
      </c>
      <c r="D167" s="1" t="s">
        <v>46</v>
      </c>
      <c r="E167" s="1">
        <v>2023</v>
      </c>
    </row>
    <row r="168" spans="1:5" ht="14.4">
      <c r="A168" s="2">
        <v>167</v>
      </c>
      <c r="B168" s="1">
        <v>27</v>
      </c>
      <c r="C168" s="1" t="s">
        <v>20</v>
      </c>
      <c r="D168" s="1" t="s">
        <v>46</v>
      </c>
      <c r="E168" s="1">
        <v>2023</v>
      </c>
    </row>
    <row r="169" spans="1:5" ht="14.4">
      <c r="A169" s="2">
        <v>168</v>
      </c>
      <c r="B169" s="1">
        <v>28</v>
      </c>
      <c r="C169" s="1" t="s">
        <v>16</v>
      </c>
      <c r="D169" s="1" t="s">
        <v>46</v>
      </c>
      <c r="E169" s="1">
        <v>2023</v>
      </c>
    </row>
    <row r="170" spans="1:5" ht="14.4">
      <c r="A170" s="2">
        <v>169</v>
      </c>
      <c r="B170" s="1">
        <v>29</v>
      </c>
      <c r="C170" s="1" t="s">
        <v>20</v>
      </c>
      <c r="D170" s="1" t="s">
        <v>46</v>
      </c>
      <c r="E170" s="1">
        <v>2023</v>
      </c>
    </row>
    <row r="171" spans="1:5" ht="14.4">
      <c r="A171" s="2">
        <v>170</v>
      </c>
      <c r="B171" s="1">
        <v>30</v>
      </c>
      <c r="C171" s="1" t="s">
        <v>18</v>
      </c>
      <c r="D171" s="1" t="s">
        <v>46</v>
      </c>
      <c r="E171" s="1">
        <v>2023</v>
      </c>
    </row>
    <row r="172" spans="1:5" ht="14.4">
      <c r="A172" s="2">
        <v>171</v>
      </c>
      <c r="B172" s="1">
        <v>31</v>
      </c>
      <c r="C172" s="1" t="s">
        <v>20</v>
      </c>
      <c r="D172" s="1" t="s">
        <v>46</v>
      </c>
      <c r="E172" s="1">
        <v>2023</v>
      </c>
    </row>
    <row r="173" spans="1:5" ht="14.4">
      <c r="A173" s="2">
        <v>172</v>
      </c>
      <c r="B173" s="1">
        <v>32</v>
      </c>
      <c r="C173" s="1" t="s">
        <v>13</v>
      </c>
      <c r="D173" s="1" t="s">
        <v>46</v>
      </c>
      <c r="E173" s="1">
        <v>2023</v>
      </c>
    </row>
    <row r="174" spans="1:5" ht="14.4">
      <c r="A174" s="2">
        <v>173</v>
      </c>
      <c r="B174" s="1">
        <v>33</v>
      </c>
      <c r="C174" s="1" t="s">
        <v>18</v>
      </c>
      <c r="D174" s="1" t="s">
        <v>46</v>
      </c>
      <c r="E174" s="1">
        <v>2023</v>
      </c>
    </row>
    <row r="175" spans="1:5" ht="14.4">
      <c r="A175" s="2">
        <v>174</v>
      </c>
      <c r="B175" s="1">
        <v>34</v>
      </c>
      <c r="C175" s="1" t="s">
        <v>20</v>
      </c>
      <c r="D175" s="1" t="s">
        <v>46</v>
      </c>
      <c r="E175" s="1">
        <v>2023</v>
      </c>
    </row>
    <row r="176" spans="1:5" ht="14.4">
      <c r="A176" s="2">
        <v>175</v>
      </c>
      <c r="B176" s="1">
        <v>35</v>
      </c>
      <c r="C176" s="1" t="s">
        <v>18</v>
      </c>
      <c r="D176" s="1" t="s">
        <v>46</v>
      </c>
      <c r="E176" s="1">
        <v>2023</v>
      </c>
    </row>
    <row r="177" spans="1:5" ht="14.4">
      <c r="A177" s="2">
        <v>176</v>
      </c>
      <c r="B177" s="1">
        <v>36</v>
      </c>
      <c r="C177" s="1" t="s">
        <v>15</v>
      </c>
      <c r="D177" s="1" t="s">
        <v>46</v>
      </c>
      <c r="E177" s="1">
        <v>2023</v>
      </c>
    </row>
    <row r="178" spans="1:5" ht="14.4">
      <c r="A178" s="2">
        <v>177</v>
      </c>
      <c r="B178" s="1">
        <v>37</v>
      </c>
      <c r="C178" s="1" t="s">
        <v>16</v>
      </c>
      <c r="D178" s="1" t="s">
        <v>46</v>
      </c>
      <c r="E178" s="1">
        <v>2023</v>
      </c>
    </row>
    <row r="179" spans="1:5" ht="14.4">
      <c r="A179" s="2">
        <v>178</v>
      </c>
      <c r="B179" s="1">
        <v>38</v>
      </c>
      <c r="C179" s="1" t="s">
        <v>15</v>
      </c>
      <c r="D179" s="1" t="s">
        <v>46</v>
      </c>
      <c r="E179" s="1">
        <v>2023</v>
      </c>
    </row>
    <row r="180" spans="1:5" ht="14.4">
      <c r="A180" s="2">
        <v>179</v>
      </c>
      <c r="B180" s="1">
        <v>39</v>
      </c>
      <c r="C180" s="1" t="s">
        <v>16</v>
      </c>
      <c r="D180" s="1" t="s">
        <v>46</v>
      </c>
      <c r="E180" s="1">
        <v>2023</v>
      </c>
    </row>
    <row r="181" spans="1:5" ht="14.4">
      <c r="A181" s="2">
        <v>180</v>
      </c>
      <c r="B181" s="1">
        <v>40</v>
      </c>
      <c r="C181" s="1" t="s">
        <v>18</v>
      </c>
      <c r="D181" s="1" t="s">
        <v>46</v>
      </c>
      <c r="E181" s="1">
        <v>2023</v>
      </c>
    </row>
    <row r="182" spans="1:5" ht="14.4">
      <c r="A182" s="2">
        <v>181</v>
      </c>
      <c r="B182" s="1">
        <v>41</v>
      </c>
      <c r="C182" s="1" t="s">
        <v>18</v>
      </c>
      <c r="D182" s="1" t="s">
        <v>46</v>
      </c>
      <c r="E182" s="1">
        <v>2023</v>
      </c>
    </row>
    <row r="183" spans="1:5" ht="14.4">
      <c r="A183" s="2">
        <v>182</v>
      </c>
      <c r="B183" s="1">
        <v>42</v>
      </c>
      <c r="C183" s="1" t="s">
        <v>16</v>
      </c>
      <c r="D183" s="1" t="s">
        <v>46</v>
      </c>
      <c r="E183" s="1">
        <v>2023</v>
      </c>
    </row>
    <row r="184" spans="1:5" ht="14.4">
      <c r="A184" s="2">
        <v>183</v>
      </c>
      <c r="B184" s="1">
        <v>43</v>
      </c>
      <c r="C184" s="1" t="s">
        <v>18</v>
      </c>
      <c r="D184" s="1" t="s">
        <v>46</v>
      </c>
      <c r="E184" s="1">
        <v>2023</v>
      </c>
    </row>
    <row r="185" spans="1:5" ht="14.4">
      <c r="A185" s="2">
        <v>184</v>
      </c>
      <c r="B185" s="1">
        <v>44</v>
      </c>
      <c r="C185" s="1" t="s">
        <v>15</v>
      </c>
      <c r="D185" s="1" t="s">
        <v>46</v>
      </c>
      <c r="E185" s="1">
        <v>2023</v>
      </c>
    </row>
    <row r="186" spans="1:5" ht="14.4">
      <c r="A186" s="2">
        <v>185</v>
      </c>
      <c r="B186" s="1">
        <v>45</v>
      </c>
      <c r="C186" s="1" t="s">
        <v>20</v>
      </c>
      <c r="D186" s="1" t="s">
        <v>46</v>
      </c>
      <c r="E186" s="1">
        <v>2023</v>
      </c>
    </row>
    <row r="187" spans="1:5" ht="14.4">
      <c r="A187" s="2">
        <v>186</v>
      </c>
      <c r="B187" s="1">
        <v>46</v>
      </c>
      <c r="C187" s="1" t="s">
        <v>18</v>
      </c>
      <c r="D187" s="1" t="s">
        <v>46</v>
      </c>
      <c r="E187" s="1">
        <v>2023</v>
      </c>
    </row>
    <row r="188" spans="1:5" ht="14.4">
      <c r="A188" s="2">
        <v>187</v>
      </c>
      <c r="B188" s="1">
        <v>47</v>
      </c>
      <c r="C188" s="1" t="s">
        <v>15</v>
      </c>
      <c r="D188" s="1" t="s">
        <v>46</v>
      </c>
      <c r="E188" s="1">
        <v>2023</v>
      </c>
    </row>
    <row r="189" spans="1:5" ht="14.4">
      <c r="A189" s="2">
        <v>188</v>
      </c>
      <c r="B189" s="1">
        <v>48</v>
      </c>
      <c r="C189" s="1" t="s">
        <v>15</v>
      </c>
      <c r="D189" s="1" t="s">
        <v>46</v>
      </c>
      <c r="E189" s="1">
        <v>2023</v>
      </c>
    </row>
    <row r="190" spans="1:5" ht="14.4">
      <c r="A190" s="2">
        <v>189</v>
      </c>
      <c r="B190" s="1">
        <v>49</v>
      </c>
      <c r="C190" s="1" t="s">
        <v>13</v>
      </c>
      <c r="D190" s="1" t="s">
        <v>46</v>
      </c>
      <c r="E190" s="1">
        <v>2023</v>
      </c>
    </row>
    <row r="191" spans="1:5" ht="14.4">
      <c r="A191" s="2">
        <v>190</v>
      </c>
      <c r="B191" s="1">
        <v>50</v>
      </c>
      <c r="C191" s="1" t="s">
        <v>15</v>
      </c>
      <c r="D191" s="1" t="s">
        <v>46</v>
      </c>
      <c r="E191" s="1">
        <v>2023</v>
      </c>
    </row>
    <row r="192" spans="1:5" ht="14.4">
      <c r="A192" s="2">
        <v>191</v>
      </c>
      <c r="B192" s="1">
        <v>51</v>
      </c>
      <c r="C192" s="1" t="s">
        <v>16</v>
      </c>
      <c r="D192" s="1" t="s">
        <v>47</v>
      </c>
      <c r="E192" s="1">
        <v>2023</v>
      </c>
    </row>
    <row r="193" spans="1:5" ht="14.4">
      <c r="A193" s="2">
        <v>192</v>
      </c>
      <c r="B193" s="1">
        <v>52</v>
      </c>
      <c r="C193" s="1" t="s">
        <v>13</v>
      </c>
      <c r="D193" s="1" t="s">
        <v>47</v>
      </c>
      <c r="E193" s="1">
        <v>2023</v>
      </c>
    </row>
    <row r="194" spans="1:5" ht="14.4">
      <c r="A194" s="2">
        <v>193</v>
      </c>
      <c r="B194" s="1">
        <v>53</v>
      </c>
      <c r="C194" s="1" t="s">
        <v>15</v>
      </c>
      <c r="D194" s="1" t="s">
        <v>47</v>
      </c>
      <c r="E194" s="1">
        <v>2023</v>
      </c>
    </row>
    <row r="195" spans="1:5" ht="14.4">
      <c r="A195" s="2">
        <v>194</v>
      </c>
      <c r="B195" s="1">
        <v>54</v>
      </c>
      <c r="C195" s="1" t="s">
        <v>18</v>
      </c>
      <c r="D195" s="1" t="s">
        <v>47</v>
      </c>
      <c r="E195" s="1">
        <v>2023</v>
      </c>
    </row>
    <row r="196" spans="1:5" ht="14.4">
      <c r="A196" s="2">
        <v>195</v>
      </c>
      <c r="B196" s="1">
        <v>55</v>
      </c>
      <c r="C196" s="1" t="s">
        <v>13</v>
      </c>
      <c r="D196" s="1" t="s">
        <v>47</v>
      </c>
      <c r="E196" s="1">
        <v>2023</v>
      </c>
    </row>
    <row r="197" spans="1:5" ht="14.4">
      <c r="A197" s="2">
        <v>196</v>
      </c>
      <c r="B197" s="1">
        <v>56</v>
      </c>
      <c r="C197" s="1" t="s">
        <v>15</v>
      </c>
      <c r="D197" s="1" t="s">
        <v>47</v>
      </c>
      <c r="E197" s="1">
        <v>2023</v>
      </c>
    </row>
    <row r="198" spans="1:5" ht="14.4">
      <c r="A198" s="2">
        <v>197</v>
      </c>
      <c r="B198" s="1">
        <v>57</v>
      </c>
      <c r="C198" s="1" t="s">
        <v>20</v>
      </c>
      <c r="D198" s="1" t="s">
        <v>47</v>
      </c>
      <c r="E198" s="1">
        <v>2023</v>
      </c>
    </row>
    <row r="199" spans="1:5" ht="14.4">
      <c r="A199" s="2">
        <v>198</v>
      </c>
      <c r="B199" s="1">
        <v>58</v>
      </c>
      <c r="C199" s="1" t="s">
        <v>16</v>
      </c>
      <c r="D199" s="1" t="s">
        <v>47</v>
      </c>
      <c r="E199" s="1">
        <v>2023</v>
      </c>
    </row>
    <row r="200" spans="1:5" ht="14.4">
      <c r="A200" s="2">
        <v>199</v>
      </c>
      <c r="B200" s="1">
        <v>59</v>
      </c>
      <c r="C200" s="1" t="s">
        <v>15</v>
      </c>
      <c r="D200" s="1" t="s">
        <v>47</v>
      </c>
      <c r="E200" s="1">
        <v>2023</v>
      </c>
    </row>
    <row r="201" spans="1:5" ht="14.4">
      <c r="A201" s="2">
        <v>200</v>
      </c>
      <c r="B201" s="1">
        <v>60</v>
      </c>
      <c r="C201" s="1" t="s">
        <v>15</v>
      </c>
      <c r="D201" s="1" t="s">
        <v>47</v>
      </c>
      <c r="E201" s="1">
        <v>2023</v>
      </c>
    </row>
    <row r="202" spans="1:5" ht="14.4">
      <c r="A202" s="2">
        <v>201</v>
      </c>
      <c r="B202" s="1">
        <v>61</v>
      </c>
      <c r="C202" s="1" t="s">
        <v>15</v>
      </c>
      <c r="D202" s="1" t="s">
        <v>47</v>
      </c>
      <c r="E202" s="1">
        <v>2023</v>
      </c>
    </row>
    <row r="203" spans="1:5" ht="14.4">
      <c r="A203" s="2">
        <v>202</v>
      </c>
      <c r="B203" s="1">
        <v>62</v>
      </c>
      <c r="C203" s="1" t="s">
        <v>15</v>
      </c>
      <c r="D203" s="1" t="s">
        <v>47</v>
      </c>
      <c r="E203" s="1">
        <v>2023</v>
      </c>
    </row>
    <row r="204" spans="1:5" ht="14.4">
      <c r="A204" s="2">
        <v>203</v>
      </c>
      <c r="B204" s="1">
        <v>63</v>
      </c>
      <c r="C204" s="1" t="s">
        <v>20</v>
      </c>
      <c r="D204" s="1" t="s">
        <v>47</v>
      </c>
      <c r="E204" s="1">
        <v>2023</v>
      </c>
    </row>
    <row r="205" spans="1:5" ht="14.4">
      <c r="A205" s="2">
        <v>204</v>
      </c>
      <c r="B205" s="1">
        <v>64</v>
      </c>
      <c r="C205" s="1" t="s">
        <v>16</v>
      </c>
      <c r="D205" s="1" t="s">
        <v>47</v>
      </c>
      <c r="E205" s="1">
        <v>2023</v>
      </c>
    </row>
    <row r="206" spans="1:5" ht="14.4">
      <c r="A206" s="2">
        <v>205</v>
      </c>
      <c r="B206" s="1">
        <v>65</v>
      </c>
      <c r="C206" s="1" t="s">
        <v>13</v>
      </c>
      <c r="D206" s="1" t="s">
        <v>47</v>
      </c>
      <c r="E206" s="1">
        <v>2023</v>
      </c>
    </row>
    <row r="207" spans="1:5" ht="14.4">
      <c r="A207" s="2">
        <v>206</v>
      </c>
      <c r="B207" s="1">
        <v>66</v>
      </c>
      <c r="C207" s="1" t="s">
        <v>18</v>
      </c>
      <c r="D207" s="1" t="s">
        <v>47</v>
      </c>
      <c r="E207" s="1">
        <v>2023</v>
      </c>
    </row>
    <row r="208" spans="1:5" ht="14.4">
      <c r="A208" s="2">
        <v>207</v>
      </c>
      <c r="B208" s="1">
        <v>67</v>
      </c>
      <c r="C208" s="1" t="s">
        <v>13</v>
      </c>
      <c r="D208" s="1" t="s">
        <v>47</v>
      </c>
      <c r="E208" s="1">
        <v>2023</v>
      </c>
    </row>
    <row r="209" spans="1:28" ht="14.4">
      <c r="A209" s="2">
        <v>208</v>
      </c>
      <c r="B209" s="1">
        <v>68</v>
      </c>
      <c r="C209" s="1" t="s">
        <v>13</v>
      </c>
      <c r="D209" s="1" t="s">
        <v>47</v>
      </c>
      <c r="E209" s="1">
        <v>2023</v>
      </c>
    </row>
    <row r="210" spans="1:28" ht="14.4">
      <c r="A210" s="2">
        <v>209</v>
      </c>
      <c r="B210" s="1">
        <v>69</v>
      </c>
      <c r="C210" s="1" t="s">
        <v>15</v>
      </c>
      <c r="D210" s="1" t="s">
        <v>47</v>
      </c>
      <c r="E210" s="1">
        <v>2023</v>
      </c>
    </row>
    <row r="211" spans="1:28" ht="14.4">
      <c r="A211" s="2">
        <v>210</v>
      </c>
      <c r="B211" s="1">
        <v>70</v>
      </c>
      <c r="C211" s="1" t="s">
        <v>20</v>
      </c>
      <c r="D211" s="1" t="s">
        <v>47</v>
      </c>
      <c r="E211" s="1">
        <v>2023</v>
      </c>
    </row>
    <row r="212" spans="1:28" ht="14.4">
      <c r="A212" s="2">
        <v>211</v>
      </c>
      <c r="B212" s="1">
        <v>1</v>
      </c>
      <c r="C212" s="1" t="s">
        <v>16</v>
      </c>
      <c r="D212" s="1" t="s">
        <v>45</v>
      </c>
      <c r="E212" s="1">
        <v>2024</v>
      </c>
    </row>
    <row r="213" spans="1:28" ht="14.4">
      <c r="A213" s="5">
        <v>212</v>
      </c>
      <c r="B213" s="6">
        <v>2</v>
      </c>
      <c r="C213" s="6" t="s">
        <v>26</v>
      </c>
      <c r="D213" s="6" t="s">
        <v>45</v>
      </c>
      <c r="E213" s="6">
        <v>2024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4.4">
      <c r="A214" s="2">
        <v>213</v>
      </c>
      <c r="B214" s="1">
        <v>3</v>
      </c>
      <c r="C214" s="1" t="s">
        <v>18</v>
      </c>
      <c r="D214" s="1" t="s">
        <v>45</v>
      </c>
      <c r="E214" s="1">
        <v>2024</v>
      </c>
    </row>
    <row r="215" spans="1:28" ht="14.4">
      <c r="A215" s="2">
        <v>214</v>
      </c>
      <c r="B215" s="1">
        <v>4</v>
      </c>
      <c r="C215" s="1" t="s">
        <v>18</v>
      </c>
      <c r="D215" s="1" t="s">
        <v>45</v>
      </c>
      <c r="E215" s="1">
        <v>2024</v>
      </c>
    </row>
    <row r="216" spans="1:28" ht="14.4">
      <c r="A216" s="2">
        <v>215</v>
      </c>
      <c r="B216" s="1">
        <v>5</v>
      </c>
      <c r="C216" s="1" t="s">
        <v>13</v>
      </c>
      <c r="D216" s="1" t="s">
        <v>45</v>
      </c>
      <c r="E216" s="1">
        <v>2024</v>
      </c>
    </row>
    <row r="217" spans="1:28" ht="14.4">
      <c r="A217" s="2">
        <v>216</v>
      </c>
      <c r="B217" s="1">
        <v>6</v>
      </c>
      <c r="C217" s="1" t="s">
        <v>16</v>
      </c>
      <c r="D217" s="1" t="s">
        <v>45</v>
      </c>
      <c r="E217" s="1">
        <v>2024</v>
      </c>
    </row>
    <row r="218" spans="1:28" ht="14.4">
      <c r="A218" s="2">
        <v>217</v>
      </c>
      <c r="B218" s="1">
        <v>7</v>
      </c>
      <c r="C218" s="1" t="s">
        <v>20</v>
      </c>
      <c r="D218" s="1" t="s">
        <v>45</v>
      </c>
      <c r="E218" s="1">
        <v>2024</v>
      </c>
    </row>
    <row r="219" spans="1:28" ht="14.4">
      <c r="A219" s="2">
        <v>218</v>
      </c>
      <c r="B219" s="1">
        <v>8</v>
      </c>
      <c r="C219" s="1" t="s">
        <v>20</v>
      </c>
      <c r="D219" s="1" t="s">
        <v>45</v>
      </c>
      <c r="E219" s="1">
        <v>2024</v>
      </c>
    </row>
    <row r="220" spans="1:28" ht="14.4">
      <c r="A220" s="2">
        <v>219</v>
      </c>
      <c r="B220" s="1">
        <v>9</v>
      </c>
      <c r="C220" s="1" t="s">
        <v>16</v>
      </c>
      <c r="D220" s="1" t="s">
        <v>45</v>
      </c>
      <c r="E220" s="1">
        <v>2024</v>
      </c>
    </row>
    <row r="221" spans="1:28" ht="14.4">
      <c r="A221" s="2">
        <v>220</v>
      </c>
      <c r="B221" s="1">
        <v>10</v>
      </c>
      <c r="C221" s="1" t="s">
        <v>15</v>
      </c>
      <c r="D221" s="1" t="s">
        <v>45</v>
      </c>
      <c r="E221" s="1">
        <v>2024</v>
      </c>
    </row>
    <row r="222" spans="1:28" ht="14.4">
      <c r="A222" s="2">
        <v>221</v>
      </c>
      <c r="B222" s="1">
        <v>11</v>
      </c>
      <c r="C222" s="1" t="s">
        <v>13</v>
      </c>
      <c r="D222" s="1" t="s">
        <v>45</v>
      </c>
      <c r="E222" s="1">
        <v>2024</v>
      </c>
    </row>
    <row r="223" spans="1:28" ht="14.4">
      <c r="A223" s="2">
        <v>222</v>
      </c>
      <c r="B223" s="1">
        <v>12</v>
      </c>
      <c r="C223" s="1" t="s">
        <v>18</v>
      </c>
      <c r="D223" s="1" t="s">
        <v>45</v>
      </c>
      <c r="E223" s="1">
        <v>2024</v>
      </c>
    </row>
    <row r="224" spans="1:28" ht="14.4">
      <c r="A224" s="2">
        <v>223</v>
      </c>
      <c r="B224" s="1">
        <v>13</v>
      </c>
      <c r="C224" s="1" t="s">
        <v>16</v>
      </c>
      <c r="D224" s="1" t="s">
        <v>45</v>
      </c>
      <c r="E224" s="1">
        <v>2024</v>
      </c>
    </row>
    <row r="225" spans="1:28" ht="14.4">
      <c r="A225" s="2">
        <v>224</v>
      </c>
      <c r="B225" s="1">
        <v>14</v>
      </c>
      <c r="C225" s="1" t="s">
        <v>20</v>
      </c>
      <c r="D225" s="1" t="s">
        <v>45</v>
      </c>
      <c r="E225" s="1">
        <v>2024</v>
      </c>
    </row>
    <row r="226" spans="1:28" ht="14.4">
      <c r="A226" s="2">
        <v>225</v>
      </c>
      <c r="B226" s="1">
        <v>15</v>
      </c>
      <c r="C226" s="1" t="s">
        <v>15</v>
      </c>
      <c r="D226" s="1" t="s">
        <v>45</v>
      </c>
      <c r="E226" s="1">
        <v>2024</v>
      </c>
    </row>
    <row r="227" spans="1:28" ht="14.4">
      <c r="A227" s="2">
        <v>226</v>
      </c>
      <c r="B227" s="1">
        <v>16</v>
      </c>
      <c r="C227" s="1" t="s">
        <v>16</v>
      </c>
      <c r="D227" s="1" t="s">
        <v>45</v>
      </c>
      <c r="E227" s="1">
        <v>2024</v>
      </c>
    </row>
    <row r="228" spans="1:28" ht="14.4">
      <c r="A228" s="5">
        <v>227</v>
      </c>
      <c r="B228" s="6">
        <v>17</v>
      </c>
      <c r="C228" s="6" t="s">
        <v>26</v>
      </c>
      <c r="D228" s="6" t="s">
        <v>45</v>
      </c>
      <c r="E228" s="6">
        <v>2024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4.4">
      <c r="A229" s="2">
        <v>228</v>
      </c>
      <c r="B229" s="1">
        <v>18</v>
      </c>
      <c r="C229" s="1" t="s">
        <v>13</v>
      </c>
      <c r="D229" s="1" t="s">
        <v>45</v>
      </c>
      <c r="E229" s="1">
        <v>2024</v>
      </c>
    </row>
    <row r="230" spans="1:28" ht="14.4">
      <c r="A230" s="2">
        <v>229</v>
      </c>
      <c r="B230" s="1">
        <v>19</v>
      </c>
      <c r="C230" s="1" t="s">
        <v>20</v>
      </c>
      <c r="D230" s="1" t="s">
        <v>45</v>
      </c>
      <c r="E230" s="1">
        <v>2024</v>
      </c>
    </row>
    <row r="231" spans="1:28" ht="14.4">
      <c r="A231" s="2">
        <v>230</v>
      </c>
      <c r="B231" s="1">
        <v>20</v>
      </c>
      <c r="C231" s="1" t="s">
        <v>20</v>
      </c>
      <c r="D231" s="1" t="s">
        <v>45</v>
      </c>
      <c r="E231" s="1">
        <v>2024</v>
      </c>
    </row>
    <row r="232" spans="1:28" ht="14.4">
      <c r="A232" s="2">
        <v>231</v>
      </c>
      <c r="B232" s="1">
        <v>21</v>
      </c>
      <c r="C232" s="1" t="s">
        <v>13</v>
      </c>
      <c r="D232" s="1" t="s">
        <v>46</v>
      </c>
      <c r="E232" s="1">
        <v>2024</v>
      </c>
    </row>
    <row r="233" spans="1:28" ht="14.4">
      <c r="A233" s="2">
        <v>232</v>
      </c>
      <c r="B233" s="1">
        <v>22</v>
      </c>
      <c r="C233" s="1" t="s">
        <v>18</v>
      </c>
      <c r="D233" s="1" t="s">
        <v>46</v>
      </c>
      <c r="E233" s="1">
        <v>2024</v>
      </c>
    </row>
    <row r="234" spans="1:28" ht="14.4">
      <c r="A234" s="2">
        <v>233</v>
      </c>
      <c r="B234" s="1">
        <v>23</v>
      </c>
      <c r="C234" s="1" t="s">
        <v>15</v>
      </c>
      <c r="D234" s="1" t="s">
        <v>46</v>
      </c>
      <c r="E234" s="1">
        <v>2024</v>
      </c>
    </row>
    <row r="235" spans="1:28" ht="14.4">
      <c r="A235" s="2">
        <v>234</v>
      </c>
      <c r="B235" s="1">
        <v>24</v>
      </c>
      <c r="C235" s="1" t="s">
        <v>18</v>
      </c>
      <c r="D235" s="1" t="s">
        <v>46</v>
      </c>
      <c r="E235" s="1">
        <v>2024</v>
      </c>
    </row>
    <row r="236" spans="1:28" ht="14.4">
      <c r="A236" s="2">
        <v>235</v>
      </c>
      <c r="B236" s="1">
        <v>25</v>
      </c>
      <c r="C236" s="1" t="s">
        <v>15</v>
      </c>
      <c r="D236" s="1" t="s">
        <v>46</v>
      </c>
      <c r="E236" s="1">
        <v>2024</v>
      </c>
    </row>
    <row r="237" spans="1:28" ht="14.4">
      <c r="A237" s="2">
        <v>236</v>
      </c>
      <c r="B237" s="1">
        <v>26</v>
      </c>
      <c r="C237" s="1" t="s">
        <v>16</v>
      </c>
      <c r="D237" s="1" t="s">
        <v>46</v>
      </c>
      <c r="E237" s="1">
        <v>2024</v>
      </c>
    </row>
    <row r="238" spans="1:28" ht="14.4">
      <c r="A238" s="2">
        <v>237</v>
      </c>
      <c r="B238" s="1">
        <v>27</v>
      </c>
      <c r="C238" s="1" t="s">
        <v>13</v>
      </c>
      <c r="D238" s="1" t="s">
        <v>46</v>
      </c>
      <c r="E238" s="1">
        <v>2024</v>
      </c>
    </row>
    <row r="239" spans="1:28" ht="14.4">
      <c r="A239" s="2">
        <v>238</v>
      </c>
      <c r="B239" s="1">
        <v>28</v>
      </c>
      <c r="C239" s="1" t="s">
        <v>20</v>
      </c>
      <c r="D239" s="1" t="s">
        <v>46</v>
      </c>
      <c r="E239" s="1">
        <v>2024</v>
      </c>
    </row>
    <row r="240" spans="1:28" ht="14.4">
      <c r="A240" s="2">
        <v>239</v>
      </c>
      <c r="B240" s="1">
        <v>29</v>
      </c>
      <c r="C240" s="1" t="s">
        <v>16</v>
      </c>
      <c r="D240" s="1" t="s">
        <v>46</v>
      </c>
      <c r="E240" s="1">
        <v>2024</v>
      </c>
    </row>
    <row r="241" spans="1:5" ht="14.4">
      <c r="A241" s="2">
        <v>240</v>
      </c>
      <c r="B241" s="1">
        <v>30</v>
      </c>
      <c r="C241" s="1" t="s">
        <v>20</v>
      </c>
      <c r="D241" s="1" t="s">
        <v>46</v>
      </c>
      <c r="E241" s="1">
        <v>2024</v>
      </c>
    </row>
    <row r="242" spans="1:5" ht="14.4">
      <c r="A242" s="2">
        <v>241</v>
      </c>
      <c r="B242" s="1">
        <v>31</v>
      </c>
      <c r="C242" s="1" t="s">
        <v>13</v>
      </c>
      <c r="D242" s="1" t="s">
        <v>46</v>
      </c>
      <c r="E242" s="1">
        <v>2024</v>
      </c>
    </row>
    <row r="243" spans="1:5" ht="14.4">
      <c r="A243" s="2">
        <v>242</v>
      </c>
      <c r="B243" s="1">
        <v>32</v>
      </c>
      <c r="C243" s="1" t="s">
        <v>13</v>
      </c>
      <c r="D243" s="1" t="s">
        <v>46</v>
      </c>
      <c r="E243" s="1">
        <v>2024</v>
      </c>
    </row>
    <row r="244" spans="1:5" ht="14.4">
      <c r="A244" s="2">
        <v>243</v>
      </c>
      <c r="B244" s="1">
        <v>33</v>
      </c>
      <c r="C244" s="1" t="s">
        <v>20</v>
      </c>
      <c r="D244" s="1" t="s">
        <v>46</v>
      </c>
      <c r="E244" s="1">
        <v>2024</v>
      </c>
    </row>
    <row r="245" spans="1:5" ht="14.4">
      <c r="A245" s="2">
        <v>244</v>
      </c>
      <c r="B245" s="1">
        <v>34</v>
      </c>
      <c r="C245" s="1" t="s">
        <v>13</v>
      </c>
      <c r="D245" s="1" t="s">
        <v>46</v>
      </c>
      <c r="E245" s="1">
        <v>2024</v>
      </c>
    </row>
    <row r="246" spans="1:5" ht="14.4">
      <c r="A246" s="2">
        <v>245</v>
      </c>
      <c r="B246" s="1">
        <v>35</v>
      </c>
      <c r="C246" s="1" t="s">
        <v>16</v>
      </c>
      <c r="D246" s="1" t="s">
        <v>46</v>
      </c>
      <c r="E246" s="1">
        <v>2024</v>
      </c>
    </row>
    <row r="247" spans="1:5" ht="14.4">
      <c r="A247" s="2">
        <v>246</v>
      </c>
      <c r="B247" s="1">
        <v>36</v>
      </c>
      <c r="C247" s="1" t="s">
        <v>20</v>
      </c>
      <c r="D247" s="1" t="s">
        <v>46</v>
      </c>
      <c r="E247" s="1">
        <v>2024</v>
      </c>
    </row>
    <row r="248" spans="1:5" ht="14.4">
      <c r="A248" s="2">
        <v>247</v>
      </c>
      <c r="B248" s="1">
        <v>37</v>
      </c>
      <c r="C248" s="1" t="s">
        <v>18</v>
      </c>
      <c r="D248" s="1" t="s">
        <v>46</v>
      </c>
      <c r="E248" s="1">
        <v>2024</v>
      </c>
    </row>
    <row r="249" spans="1:5" ht="14.4">
      <c r="A249" s="2">
        <v>248</v>
      </c>
      <c r="B249" s="1">
        <v>38</v>
      </c>
      <c r="C249" s="1" t="s">
        <v>15</v>
      </c>
      <c r="D249" s="1" t="s">
        <v>46</v>
      </c>
      <c r="E249" s="1">
        <v>2024</v>
      </c>
    </row>
    <row r="250" spans="1:5" ht="14.4">
      <c r="A250" s="2">
        <v>249</v>
      </c>
      <c r="B250" s="1">
        <v>39</v>
      </c>
      <c r="C250" s="1" t="s">
        <v>20</v>
      </c>
      <c r="D250" s="1" t="s">
        <v>46</v>
      </c>
      <c r="E250" s="1">
        <v>2024</v>
      </c>
    </row>
    <row r="251" spans="1:5" ht="14.4">
      <c r="A251" s="2">
        <v>250</v>
      </c>
      <c r="B251" s="1">
        <v>40</v>
      </c>
      <c r="C251" s="1" t="s">
        <v>13</v>
      </c>
      <c r="D251" s="1" t="s">
        <v>46</v>
      </c>
      <c r="E251" s="1">
        <v>2024</v>
      </c>
    </row>
    <row r="252" spans="1:5" ht="14.4">
      <c r="A252" s="2">
        <v>251</v>
      </c>
      <c r="B252" s="1">
        <v>41</v>
      </c>
      <c r="C252" s="1" t="s">
        <v>20</v>
      </c>
      <c r="D252" s="1" t="s">
        <v>46</v>
      </c>
      <c r="E252" s="1">
        <v>2024</v>
      </c>
    </row>
    <row r="253" spans="1:5" ht="14.4">
      <c r="A253" s="2">
        <v>252</v>
      </c>
      <c r="B253" s="1">
        <v>42</v>
      </c>
      <c r="C253" s="1" t="s">
        <v>18</v>
      </c>
      <c r="D253" s="1" t="s">
        <v>46</v>
      </c>
      <c r="E253" s="1">
        <v>2024</v>
      </c>
    </row>
    <row r="254" spans="1:5" ht="14.4">
      <c r="A254" s="2">
        <v>253</v>
      </c>
      <c r="B254" s="1">
        <v>43</v>
      </c>
      <c r="C254" s="1" t="s">
        <v>20</v>
      </c>
      <c r="D254" s="1" t="s">
        <v>46</v>
      </c>
      <c r="E254" s="1">
        <v>2024</v>
      </c>
    </row>
    <row r="255" spans="1:5" ht="14.4">
      <c r="A255" s="2">
        <v>254</v>
      </c>
      <c r="B255" s="1">
        <v>44</v>
      </c>
      <c r="C255" s="1" t="s">
        <v>16</v>
      </c>
      <c r="D255" s="1" t="s">
        <v>46</v>
      </c>
      <c r="E255" s="1">
        <v>2024</v>
      </c>
    </row>
    <row r="256" spans="1:5" ht="14.4">
      <c r="A256" s="2">
        <v>255</v>
      </c>
      <c r="B256" s="1">
        <v>45</v>
      </c>
      <c r="C256" s="1" t="s">
        <v>13</v>
      </c>
      <c r="D256" s="1" t="s">
        <v>46</v>
      </c>
      <c r="E256" s="1">
        <v>2024</v>
      </c>
    </row>
    <row r="257" spans="1:5" ht="14.4">
      <c r="A257" s="2">
        <v>256</v>
      </c>
      <c r="B257" s="1">
        <v>46</v>
      </c>
      <c r="C257" s="1" t="s">
        <v>18</v>
      </c>
      <c r="D257" s="1" t="s">
        <v>46</v>
      </c>
      <c r="E257" s="1">
        <v>2024</v>
      </c>
    </row>
    <row r="258" spans="1:5" ht="14.4">
      <c r="A258" s="2">
        <v>257</v>
      </c>
      <c r="B258" s="1">
        <v>47</v>
      </c>
      <c r="C258" s="1" t="s">
        <v>16</v>
      </c>
      <c r="D258" s="1" t="s">
        <v>46</v>
      </c>
      <c r="E258" s="1">
        <v>2024</v>
      </c>
    </row>
    <row r="259" spans="1:5" ht="14.4">
      <c r="A259" s="2">
        <v>258</v>
      </c>
      <c r="B259" s="1">
        <v>48</v>
      </c>
      <c r="C259" s="1" t="s">
        <v>20</v>
      </c>
      <c r="D259" s="1" t="s">
        <v>46</v>
      </c>
      <c r="E259" s="1">
        <v>2024</v>
      </c>
    </row>
    <row r="260" spans="1:5" ht="14.4">
      <c r="A260" s="2">
        <v>259</v>
      </c>
      <c r="B260" s="1">
        <v>49</v>
      </c>
      <c r="C260" s="1" t="s">
        <v>13</v>
      </c>
      <c r="D260" s="1" t="s">
        <v>46</v>
      </c>
      <c r="E260" s="1">
        <v>2024</v>
      </c>
    </row>
    <row r="261" spans="1:5" ht="14.4">
      <c r="A261" s="2">
        <v>260</v>
      </c>
      <c r="B261" s="1">
        <v>50</v>
      </c>
      <c r="C261" s="1" t="s">
        <v>15</v>
      </c>
      <c r="D261" s="1" t="s">
        <v>46</v>
      </c>
      <c r="E261" s="1">
        <v>2024</v>
      </c>
    </row>
    <row r="262" spans="1:5" ht="14.4">
      <c r="A262" s="2">
        <v>261</v>
      </c>
      <c r="B262" s="1">
        <v>51</v>
      </c>
      <c r="C262" s="1" t="s">
        <v>16</v>
      </c>
      <c r="D262" s="1" t="s">
        <v>48</v>
      </c>
      <c r="E262" s="1">
        <v>2024</v>
      </c>
    </row>
    <row r="263" spans="1:5" ht="14.4">
      <c r="A263" s="2">
        <v>262</v>
      </c>
      <c r="B263" s="1">
        <v>52</v>
      </c>
      <c r="C263" s="1" t="s">
        <v>15</v>
      </c>
      <c r="D263" s="1" t="s">
        <v>48</v>
      </c>
      <c r="E263" s="1">
        <v>2024</v>
      </c>
    </row>
    <row r="264" spans="1:5" ht="14.4">
      <c r="A264" s="2">
        <v>263</v>
      </c>
      <c r="B264" s="1">
        <v>53</v>
      </c>
      <c r="C264" s="1" t="s">
        <v>15</v>
      </c>
      <c r="D264" s="1" t="s">
        <v>48</v>
      </c>
      <c r="E264" s="1">
        <v>2024</v>
      </c>
    </row>
    <row r="265" spans="1:5" ht="14.4">
      <c r="A265" s="2">
        <v>264</v>
      </c>
      <c r="B265" s="1">
        <v>54</v>
      </c>
      <c r="C265" s="1" t="s">
        <v>18</v>
      </c>
      <c r="D265" s="1" t="s">
        <v>48</v>
      </c>
      <c r="E265" s="1">
        <v>2024</v>
      </c>
    </row>
    <row r="266" spans="1:5" ht="14.4">
      <c r="A266" s="2">
        <v>265</v>
      </c>
      <c r="B266" s="1">
        <v>55</v>
      </c>
      <c r="C266" s="1" t="s">
        <v>16</v>
      </c>
      <c r="D266" s="1" t="s">
        <v>48</v>
      </c>
      <c r="E266" s="1">
        <v>2024</v>
      </c>
    </row>
    <row r="267" spans="1:5" ht="14.4">
      <c r="A267" s="2">
        <v>266</v>
      </c>
      <c r="B267" s="1">
        <v>56</v>
      </c>
      <c r="C267" s="1" t="s">
        <v>15</v>
      </c>
      <c r="D267" s="1" t="s">
        <v>48</v>
      </c>
      <c r="E267" s="1">
        <v>2024</v>
      </c>
    </row>
    <row r="268" spans="1:5" ht="14.4">
      <c r="A268" s="2">
        <v>267</v>
      </c>
      <c r="B268" s="1">
        <v>57</v>
      </c>
      <c r="C268" s="1" t="s">
        <v>15</v>
      </c>
      <c r="D268" s="1" t="s">
        <v>48</v>
      </c>
      <c r="E268" s="1">
        <v>2024</v>
      </c>
    </row>
    <row r="269" spans="1:5" ht="14.4">
      <c r="A269" s="2">
        <v>268</v>
      </c>
      <c r="B269" s="1">
        <v>58</v>
      </c>
      <c r="C269" s="1" t="s">
        <v>13</v>
      </c>
      <c r="D269" s="1" t="s">
        <v>48</v>
      </c>
      <c r="E269" s="1">
        <v>2024</v>
      </c>
    </row>
    <row r="270" spans="1:5" ht="14.4">
      <c r="A270" s="2">
        <v>269</v>
      </c>
      <c r="B270" s="1">
        <v>59</v>
      </c>
      <c r="C270" s="1" t="s">
        <v>16</v>
      </c>
      <c r="D270" s="1" t="s">
        <v>48</v>
      </c>
      <c r="E270" s="1">
        <v>2024</v>
      </c>
    </row>
    <row r="271" spans="1:5" ht="14.4">
      <c r="A271" s="2">
        <v>270</v>
      </c>
      <c r="B271" s="1">
        <v>60</v>
      </c>
      <c r="C271" s="1" t="s">
        <v>13</v>
      </c>
      <c r="D271" s="1" t="s">
        <v>48</v>
      </c>
      <c r="E271" s="1">
        <v>2024</v>
      </c>
    </row>
    <row r="272" spans="1:5" ht="14.4">
      <c r="A272" s="2">
        <v>271</v>
      </c>
      <c r="B272" s="1">
        <v>61</v>
      </c>
      <c r="C272" s="1" t="s">
        <v>18</v>
      </c>
      <c r="D272" s="1" t="s">
        <v>48</v>
      </c>
      <c r="E272" s="1">
        <v>2024</v>
      </c>
    </row>
    <row r="273" spans="1:9" ht="14.4">
      <c r="A273" s="2">
        <v>272</v>
      </c>
      <c r="B273" s="1">
        <v>62</v>
      </c>
      <c r="C273" s="1" t="s">
        <v>20</v>
      </c>
      <c r="D273" s="1" t="s">
        <v>48</v>
      </c>
      <c r="E273" s="1">
        <v>2024</v>
      </c>
    </row>
    <row r="274" spans="1:9" ht="14.4">
      <c r="A274" s="2">
        <v>273</v>
      </c>
      <c r="B274" s="1">
        <v>63</v>
      </c>
      <c r="C274" s="1" t="s">
        <v>16</v>
      </c>
      <c r="D274" s="1" t="s">
        <v>48</v>
      </c>
      <c r="E274" s="1">
        <v>2024</v>
      </c>
    </row>
    <row r="275" spans="1:9" ht="14.4">
      <c r="A275" s="2">
        <v>274</v>
      </c>
      <c r="B275" s="1">
        <v>64</v>
      </c>
      <c r="C275" s="1" t="s">
        <v>15</v>
      </c>
      <c r="D275" s="1" t="s">
        <v>48</v>
      </c>
      <c r="E275" s="1">
        <v>2024</v>
      </c>
    </row>
    <row r="276" spans="1:9" ht="14.4">
      <c r="A276" s="2">
        <v>275</v>
      </c>
      <c r="B276" s="1">
        <v>65</v>
      </c>
      <c r="C276" s="1" t="s">
        <v>18</v>
      </c>
      <c r="D276" s="1" t="s">
        <v>48</v>
      </c>
      <c r="E276" s="1">
        <v>2024</v>
      </c>
    </row>
    <row r="277" spans="1:9" ht="14.4">
      <c r="A277" s="2">
        <v>276</v>
      </c>
      <c r="B277" s="1">
        <v>66</v>
      </c>
      <c r="C277" s="1" t="s">
        <v>16</v>
      </c>
      <c r="D277" s="1" t="s">
        <v>48</v>
      </c>
      <c r="E277" s="1">
        <v>2024</v>
      </c>
    </row>
    <row r="278" spans="1:9" ht="14.4">
      <c r="A278" s="2">
        <v>277</v>
      </c>
      <c r="B278" s="1">
        <v>67</v>
      </c>
      <c r="C278" s="1" t="s">
        <v>18</v>
      </c>
      <c r="D278" s="1" t="s">
        <v>48</v>
      </c>
      <c r="E278" s="1">
        <v>2024</v>
      </c>
    </row>
    <row r="279" spans="1:9" ht="14.4">
      <c r="A279" s="2">
        <v>278</v>
      </c>
      <c r="B279" s="1">
        <v>68</v>
      </c>
      <c r="C279" s="1" t="s">
        <v>15</v>
      </c>
      <c r="D279" s="1" t="s">
        <v>48</v>
      </c>
      <c r="E279" s="1">
        <v>2024</v>
      </c>
    </row>
    <row r="280" spans="1:9" ht="14.4">
      <c r="A280" s="2">
        <v>279</v>
      </c>
      <c r="B280" s="1">
        <v>69</v>
      </c>
      <c r="C280" s="1" t="s">
        <v>18</v>
      </c>
      <c r="D280" s="1" t="s">
        <v>48</v>
      </c>
      <c r="E280" s="1">
        <v>2024</v>
      </c>
    </row>
    <row r="281" spans="1:9" ht="14.4">
      <c r="A281" s="2">
        <v>280</v>
      </c>
      <c r="B281" s="1">
        <v>70</v>
      </c>
      <c r="C281" s="1" t="s">
        <v>13</v>
      </c>
      <c r="D281" s="1" t="s">
        <v>48</v>
      </c>
      <c r="E281" s="1">
        <v>2024</v>
      </c>
    </row>
    <row r="282" spans="1:9" ht="14.4">
      <c r="A282" s="2"/>
      <c r="F282" s="1"/>
      <c r="G282" s="1"/>
      <c r="H282" s="1"/>
      <c r="I282" s="1"/>
    </row>
    <row r="283" spans="1:9" ht="14.4">
      <c r="A283" s="2"/>
      <c r="F283" s="1"/>
      <c r="G283" s="1"/>
      <c r="H283" s="1"/>
      <c r="I283" s="1"/>
    </row>
    <row r="284" spans="1:9" ht="14.4">
      <c r="A284" s="2"/>
      <c r="F284" s="1"/>
      <c r="G284" s="1"/>
      <c r="H284" s="1"/>
      <c r="I284" s="1"/>
    </row>
    <row r="285" spans="1:9" ht="14.4">
      <c r="A285" s="2"/>
      <c r="F285" s="1"/>
      <c r="G285" s="1"/>
      <c r="H285" s="1"/>
      <c r="I285" s="1"/>
    </row>
    <row r="286" spans="1:9" ht="14.4">
      <c r="A286" s="2"/>
      <c r="F286" s="1"/>
      <c r="G286" s="1"/>
      <c r="H286" s="1"/>
      <c r="I286" s="1"/>
    </row>
    <row r="287" spans="1:9" ht="14.4">
      <c r="A287" s="2"/>
      <c r="F287" s="1"/>
      <c r="G287" s="1"/>
      <c r="H287" s="1"/>
      <c r="I287" s="1"/>
    </row>
    <row r="288" spans="1:9" ht="14.4">
      <c r="A288" s="2"/>
      <c r="F288" s="1"/>
      <c r="G288" s="1"/>
      <c r="H288" s="1"/>
      <c r="I288" s="1"/>
    </row>
    <row r="289" spans="1:9" ht="14.4">
      <c r="A289" s="2"/>
      <c r="F289" s="1"/>
      <c r="G289" s="1"/>
      <c r="H289" s="1"/>
      <c r="I289" s="1"/>
    </row>
    <row r="290" spans="1:9" ht="14.4">
      <c r="A290" s="2"/>
      <c r="F290" s="1"/>
      <c r="G290" s="1"/>
      <c r="H290" s="1"/>
      <c r="I290" s="1"/>
    </row>
    <row r="291" spans="1:9" ht="14.4">
      <c r="A291" s="2"/>
      <c r="F291" s="1"/>
      <c r="G291" s="1"/>
      <c r="H291" s="1"/>
      <c r="I291" s="1"/>
    </row>
    <row r="292" spans="1:9" ht="14.4">
      <c r="A292" s="2"/>
      <c r="F292" s="1"/>
      <c r="G292" s="1"/>
      <c r="H292" s="1"/>
      <c r="I292" s="1"/>
    </row>
    <row r="293" spans="1:9" ht="14.4">
      <c r="A293" s="2"/>
      <c r="F293" s="1"/>
      <c r="G293" s="1"/>
      <c r="H293" s="1"/>
      <c r="I293" s="1"/>
    </row>
    <row r="294" spans="1:9" ht="14.4">
      <c r="A294" s="2"/>
      <c r="F294" s="1"/>
      <c r="G294" s="1"/>
      <c r="H294" s="1"/>
      <c r="I294" s="1"/>
    </row>
    <row r="295" spans="1:9" ht="14.4">
      <c r="A295" s="2"/>
      <c r="F295" s="1"/>
      <c r="G295" s="1"/>
      <c r="H295" s="1"/>
      <c r="I295" s="1"/>
    </row>
    <row r="296" spans="1:9" ht="14.4">
      <c r="A296" s="2"/>
      <c r="F296" s="1"/>
      <c r="G296" s="1"/>
      <c r="H296" s="1"/>
      <c r="I296" s="1"/>
    </row>
    <row r="297" spans="1:9" ht="14.4">
      <c r="A297" s="2"/>
      <c r="F297" s="1"/>
      <c r="G297" s="1"/>
      <c r="H297" s="1"/>
      <c r="I297" s="1"/>
    </row>
    <row r="298" spans="1:9" ht="14.4">
      <c r="A298" s="2"/>
      <c r="F298" s="1"/>
      <c r="G298" s="1"/>
      <c r="H298" s="1"/>
      <c r="I298" s="1"/>
    </row>
    <row r="299" spans="1:9" ht="14.4">
      <c r="A299" s="2"/>
      <c r="F299" s="1"/>
      <c r="G299" s="1"/>
      <c r="H299" s="1"/>
      <c r="I299" s="1"/>
    </row>
    <row r="300" spans="1:9" ht="14.4">
      <c r="A300" s="2"/>
      <c r="F300" s="1"/>
      <c r="G300" s="1"/>
      <c r="H300" s="1"/>
      <c r="I300" s="1"/>
    </row>
    <row r="301" spans="1:9" ht="14.4">
      <c r="A301" s="2"/>
      <c r="F301" s="1"/>
      <c r="G301" s="1"/>
      <c r="H301" s="1"/>
      <c r="I301" s="1"/>
    </row>
    <row r="302" spans="1:9" ht="14.4">
      <c r="A302" s="2"/>
      <c r="F302" s="1"/>
      <c r="G302" s="1"/>
      <c r="H302" s="1"/>
      <c r="I302" s="1"/>
    </row>
    <row r="303" spans="1:9" ht="14.4">
      <c r="A303" s="2"/>
      <c r="F303" s="1"/>
      <c r="G303" s="1"/>
      <c r="H303" s="1"/>
      <c r="I303" s="1"/>
    </row>
    <row r="304" spans="1:9" ht="14.4">
      <c r="A304" s="2"/>
      <c r="F304" s="1"/>
      <c r="G304" s="1"/>
      <c r="H304" s="1"/>
      <c r="I304" s="1"/>
    </row>
    <row r="305" spans="1:9" ht="14.4">
      <c r="A305" s="2"/>
      <c r="F305" s="1"/>
      <c r="G305" s="1"/>
      <c r="H305" s="1"/>
      <c r="I305" s="1"/>
    </row>
    <row r="306" spans="1:9" ht="14.4">
      <c r="A306" s="2"/>
      <c r="F306" s="1"/>
      <c r="G306" s="1"/>
      <c r="H306" s="1"/>
      <c r="I306" s="1"/>
    </row>
    <row r="307" spans="1:9" ht="14.4">
      <c r="A307" s="2"/>
      <c r="F307" s="1"/>
      <c r="G307" s="1"/>
      <c r="H307" s="1"/>
      <c r="I307" s="1"/>
    </row>
    <row r="308" spans="1:9" ht="14.4">
      <c r="A308" s="2"/>
      <c r="F308" s="1"/>
      <c r="G308" s="1"/>
      <c r="H308" s="1"/>
      <c r="I308" s="1"/>
    </row>
    <row r="309" spans="1:9" ht="14.4">
      <c r="A309" s="2"/>
      <c r="F309" s="1"/>
      <c r="G309" s="1"/>
      <c r="H309" s="1"/>
      <c r="I309" s="1"/>
    </row>
    <row r="310" spans="1:9" ht="14.4">
      <c r="A310" s="2"/>
      <c r="F310" s="1"/>
      <c r="G310" s="1"/>
      <c r="H310" s="1"/>
      <c r="I310" s="1"/>
    </row>
    <row r="311" spans="1:9" ht="14.4">
      <c r="A311" s="2"/>
      <c r="F311" s="1"/>
      <c r="G311" s="1"/>
      <c r="H311" s="1"/>
      <c r="I311" s="1"/>
    </row>
    <row r="312" spans="1:9" ht="14.4">
      <c r="A312" s="2"/>
      <c r="F312" s="1"/>
      <c r="G312" s="1"/>
      <c r="H312" s="1"/>
      <c r="I312" s="1"/>
    </row>
    <row r="313" spans="1:9" ht="14.4">
      <c r="A313" s="2"/>
      <c r="F313" s="1"/>
      <c r="G313" s="1"/>
      <c r="H313" s="1"/>
      <c r="I313" s="1"/>
    </row>
    <row r="314" spans="1:9" ht="14.4">
      <c r="A314" s="2"/>
      <c r="F314" s="1"/>
      <c r="G314" s="1"/>
      <c r="H314" s="1"/>
      <c r="I314" s="1"/>
    </row>
    <row r="315" spans="1:9" ht="14.4">
      <c r="A315" s="2"/>
      <c r="F315" s="1"/>
      <c r="G315" s="1"/>
      <c r="H315" s="1"/>
      <c r="I315" s="1"/>
    </row>
    <row r="316" spans="1:9" ht="14.4">
      <c r="A316" s="2"/>
      <c r="F316" s="1"/>
      <c r="G316" s="1"/>
      <c r="H316" s="1"/>
      <c r="I316" s="1"/>
    </row>
    <row r="317" spans="1:9" ht="14.4">
      <c r="A317" s="2"/>
      <c r="F317" s="1"/>
      <c r="G317" s="1"/>
      <c r="H317" s="1"/>
      <c r="I317" s="1"/>
    </row>
    <row r="318" spans="1:9" ht="14.4">
      <c r="A318" s="2"/>
      <c r="F318" s="1"/>
      <c r="G318" s="1"/>
      <c r="H318" s="1"/>
      <c r="I318" s="1"/>
    </row>
    <row r="319" spans="1:9" ht="14.4">
      <c r="A319" s="2"/>
      <c r="F319" s="1"/>
      <c r="G319" s="1"/>
      <c r="H319" s="1"/>
      <c r="I319" s="1"/>
    </row>
    <row r="320" spans="1:9" ht="14.4">
      <c r="A320" s="2"/>
      <c r="F320" s="1"/>
      <c r="G320" s="1"/>
      <c r="H320" s="1"/>
      <c r="I320" s="1"/>
    </row>
    <row r="321" spans="1:9" ht="14.4">
      <c r="A321" s="2"/>
      <c r="F321" s="1"/>
      <c r="G321" s="1"/>
      <c r="H321" s="1"/>
      <c r="I321" s="1"/>
    </row>
    <row r="322" spans="1:9" ht="14.4">
      <c r="A322" s="2"/>
      <c r="F322" s="1"/>
      <c r="G322" s="1"/>
      <c r="H322" s="1"/>
      <c r="I322" s="1"/>
    </row>
    <row r="323" spans="1:9" ht="14.4">
      <c r="A323" s="2"/>
      <c r="F323" s="1"/>
      <c r="G323" s="1"/>
      <c r="H323" s="1"/>
      <c r="I323" s="1"/>
    </row>
    <row r="324" spans="1:9" ht="14.4">
      <c r="A324" s="2"/>
      <c r="F324" s="1"/>
      <c r="G324" s="1"/>
      <c r="H324" s="1"/>
      <c r="I324" s="1"/>
    </row>
    <row r="325" spans="1:9" ht="14.4">
      <c r="A325" s="2"/>
      <c r="F325" s="1"/>
      <c r="G325" s="1"/>
      <c r="H325" s="1"/>
      <c r="I325" s="1"/>
    </row>
    <row r="326" spans="1:9" ht="14.4">
      <c r="A326" s="2"/>
      <c r="F326" s="1"/>
      <c r="G326" s="1"/>
      <c r="H326" s="1"/>
      <c r="I326" s="1"/>
    </row>
    <row r="327" spans="1:9" ht="14.4">
      <c r="A327" s="2"/>
      <c r="F327" s="1"/>
      <c r="G327" s="1"/>
      <c r="H327" s="1"/>
      <c r="I327" s="1"/>
    </row>
    <row r="328" spans="1:9" ht="14.4">
      <c r="A328" s="2"/>
      <c r="F328" s="1"/>
      <c r="G328" s="1"/>
      <c r="H328" s="1"/>
      <c r="I328" s="1"/>
    </row>
    <row r="329" spans="1:9" ht="14.4">
      <c r="A329" s="2"/>
      <c r="F329" s="1"/>
      <c r="G329" s="1"/>
      <c r="H329" s="1"/>
      <c r="I329" s="1"/>
    </row>
    <row r="330" spans="1:9" ht="14.4">
      <c r="A330" s="2"/>
      <c r="F330" s="1"/>
      <c r="G330" s="1"/>
      <c r="H330" s="1"/>
      <c r="I330" s="1"/>
    </row>
    <row r="331" spans="1:9" ht="14.4">
      <c r="A331" s="2"/>
      <c r="F331" s="1"/>
      <c r="G331" s="1"/>
      <c r="H331" s="1"/>
      <c r="I331" s="1"/>
    </row>
    <row r="332" spans="1:9" ht="14.4">
      <c r="A332" s="2"/>
      <c r="F332" s="1"/>
      <c r="G332" s="1"/>
      <c r="H332" s="1"/>
      <c r="I332" s="1"/>
    </row>
    <row r="333" spans="1:9" ht="14.4">
      <c r="A333" s="2"/>
      <c r="F333" s="1"/>
      <c r="G333" s="1"/>
      <c r="H333" s="1"/>
      <c r="I333" s="1"/>
    </row>
    <row r="334" spans="1:9" ht="14.4">
      <c r="A334" s="2"/>
      <c r="F334" s="1"/>
      <c r="G334" s="1"/>
      <c r="H334" s="1"/>
      <c r="I334" s="1"/>
    </row>
    <row r="335" spans="1:9" ht="14.4">
      <c r="A335" s="2"/>
      <c r="F335" s="1"/>
      <c r="G335" s="1"/>
      <c r="H335" s="1"/>
      <c r="I335" s="1"/>
    </row>
    <row r="336" spans="1:9" ht="14.4">
      <c r="A336" s="2"/>
      <c r="F336" s="1"/>
      <c r="G336" s="1"/>
      <c r="H336" s="1"/>
      <c r="I336" s="1"/>
    </row>
    <row r="337" spans="1:9" ht="14.4">
      <c r="A337" s="2"/>
      <c r="F337" s="1"/>
      <c r="G337" s="1"/>
      <c r="H337" s="1"/>
      <c r="I337" s="1"/>
    </row>
    <row r="338" spans="1:9" ht="13.2">
      <c r="F338" s="1"/>
      <c r="G338" s="1"/>
      <c r="H338" s="1"/>
      <c r="I338" s="1"/>
    </row>
    <row r="339" spans="1:9" ht="13.2">
      <c r="F339" s="1"/>
      <c r="G339" s="1"/>
      <c r="H339" s="1"/>
      <c r="I339" s="1"/>
    </row>
    <row r="340" spans="1:9" ht="13.2">
      <c r="F340" s="1"/>
      <c r="G340" s="1"/>
      <c r="H340" s="1"/>
      <c r="I340" s="1"/>
    </row>
    <row r="341" spans="1:9" ht="13.2">
      <c r="F341" s="1"/>
      <c r="G341" s="1"/>
      <c r="H341" s="1"/>
      <c r="I341" s="1"/>
    </row>
    <row r="342" spans="1:9" ht="13.2">
      <c r="F342" s="1"/>
      <c r="G342" s="1"/>
      <c r="H342" s="1"/>
      <c r="I342" s="1"/>
    </row>
    <row r="343" spans="1:9" ht="13.2">
      <c r="F343" s="1"/>
      <c r="G343" s="1"/>
      <c r="H343" s="1"/>
      <c r="I343" s="1"/>
    </row>
    <row r="344" spans="1:9" ht="13.2">
      <c r="F344" s="1"/>
      <c r="G344" s="1"/>
      <c r="H344" s="1"/>
      <c r="I344" s="1"/>
    </row>
    <row r="345" spans="1:9" ht="13.2">
      <c r="F345" s="1"/>
      <c r="G345" s="1"/>
      <c r="H345" s="1"/>
      <c r="I345" s="1"/>
    </row>
    <row r="346" spans="1:9" ht="13.2">
      <c r="F346" s="1"/>
      <c r="G346" s="1"/>
      <c r="H346" s="1"/>
      <c r="I346" s="1"/>
    </row>
    <row r="347" spans="1:9" ht="13.2">
      <c r="F347" s="1"/>
      <c r="G347" s="1"/>
      <c r="H347" s="1"/>
      <c r="I347" s="1"/>
    </row>
    <row r="348" spans="1:9" ht="13.2">
      <c r="F348" s="1"/>
      <c r="G348" s="1"/>
      <c r="H348" s="1"/>
      <c r="I348" s="1"/>
    </row>
    <row r="349" spans="1:9" ht="13.2">
      <c r="F349" s="1"/>
      <c r="G349" s="1"/>
      <c r="H349" s="1"/>
      <c r="I349" s="1"/>
    </row>
    <row r="350" spans="1:9" ht="13.2">
      <c r="F350" s="1"/>
      <c r="G350" s="1"/>
      <c r="H350" s="1"/>
      <c r="I350" s="1"/>
    </row>
    <row r="351" spans="1:9" ht="13.2">
      <c r="F351" s="1"/>
      <c r="G351" s="1"/>
      <c r="H351" s="1"/>
      <c r="I351" s="1"/>
    </row>
    <row r="352" spans="1:9" ht="13.2">
      <c r="F352" s="1"/>
      <c r="G352" s="1"/>
      <c r="H352" s="1"/>
      <c r="I352" s="1"/>
    </row>
    <row r="353" spans="6:9" ht="13.2">
      <c r="F353" s="1"/>
      <c r="G353" s="1"/>
      <c r="H353" s="1"/>
      <c r="I353" s="1"/>
    </row>
    <row r="354" spans="6:9" ht="13.2">
      <c r="F354" s="1"/>
      <c r="G354" s="1"/>
      <c r="H354" s="1"/>
      <c r="I354" s="1"/>
    </row>
    <row r="355" spans="6:9" ht="13.2">
      <c r="F355" s="1"/>
      <c r="G355" s="1"/>
      <c r="H355" s="1"/>
      <c r="I355" s="1"/>
    </row>
    <row r="356" spans="6:9" ht="13.2">
      <c r="F356" s="1"/>
      <c r="G356" s="1"/>
      <c r="H356" s="1"/>
      <c r="I356" s="1"/>
    </row>
    <row r="357" spans="6:9" ht="13.2">
      <c r="F357" s="1"/>
      <c r="G357" s="1"/>
      <c r="H357" s="1"/>
      <c r="I357" s="1"/>
    </row>
    <row r="358" spans="6:9" ht="13.2">
      <c r="F358" s="1"/>
      <c r="G358" s="1"/>
      <c r="H358" s="1"/>
      <c r="I358" s="1"/>
    </row>
    <row r="359" spans="6:9" ht="13.2">
      <c r="F359" s="1"/>
      <c r="G359" s="1"/>
      <c r="H359" s="1"/>
      <c r="I359" s="1"/>
    </row>
    <row r="360" spans="6:9" ht="13.2">
      <c r="F360" s="1"/>
      <c r="G360" s="1"/>
      <c r="H360" s="1"/>
      <c r="I360" s="1"/>
    </row>
    <row r="361" spans="6:9" ht="13.2">
      <c r="F361" s="1"/>
      <c r="G361" s="1"/>
      <c r="H361" s="1"/>
      <c r="I361" s="1"/>
    </row>
    <row r="362" spans="6:9" ht="13.2">
      <c r="F362" s="1"/>
      <c r="G362" s="1"/>
      <c r="H362" s="1"/>
      <c r="I362" s="1"/>
    </row>
    <row r="363" spans="6:9" ht="13.2">
      <c r="F363" s="1"/>
      <c r="G363" s="1"/>
      <c r="H363" s="1"/>
      <c r="I363" s="1"/>
    </row>
    <row r="364" spans="6:9" ht="13.2">
      <c r="F364" s="1"/>
      <c r="G364" s="1"/>
      <c r="H364" s="1"/>
      <c r="I364" s="1"/>
    </row>
    <row r="365" spans="6:9" ht="13.2">
      <c r="F365" s="1"/>
      <c r="G365" s="1"/>
      <c r="H365" s="1"/>
      <c r="I365" s="1"/>
    </row>
    <row r="366" spans="6:9" ht="13.2">
      <c r="F366" s="1"/>
      <c r="G366" s="1"/>
      <c r="H366" s="1"/>
      <c r="I366" s="1"/>
    </row>
    <row r="367" spans="6:9" ht="13.2">
      <c r="F367" s="1"/>
      <c r="G367" s="1"/>
      <c r="H367" s="1"/>
      <c r="I367" s="1"/>
    </row>
    <row r="368" spans="6:9" ht="13.2">
      <c r="F368" s="1"/>
      <c r="G368" s="1"/>
      <c r="H368" s="1"/>
      <c r="I368" s="1"/>
    </row>
    <row r="369" spans="6:9" ht="13.2">
      <c r="F369" s="1"/>
      <c r="G369" s="1"/>
      <c r="H369" s="1"/>
      <c r="I369" s="1"/>
    </row>
    <row r="370" spans="6:9" ht="13.2">
      <c r="F370" s="1"/>
      <c r="G370" s="1"/>
      <c r="H370" s="1"/>
      <c r="I370" s="1"/>
    </row>
    <row r="371" spans="6:9" ht="13.2">
      <c r="F371" s="1"/>
      <c r="G371" s="1"/>
      <c r="H371" s="1"/>
      <c r="I371" s="1"/>
    </row>
    <row r="372" spans="6:9" ht="13.2">
      <c r="F372" s="1"/>
      <c r="G372" s="1"/>
      <c r="H372" s="1"/>
      <c r="I372" s="1"/>
    </row>
    <row r="373" spans="6:9" ht="13.2">
      <c r="F373" s="1"/>
      <c r="G373" s="1"/>
      <c r="H373" s="1"/>
      <c r="I373" s="1"/>
    </row>
    <row r="374" spans="6:9" ht="13.2">
      <c r="F374" s="1"/>
      <c r="G374" s="1"/>
      <c r="H374" s="1"/>
      <c r="I374" s="1"/>
    </row>
    <row r="375" spans="6:9" ht="13.2">
      <c r="F375" s="1"/>
      <c r="G375" s="1"/>
      <c r="H375" s="1"/>
      <c r="I375" s="1"/>
    </row>
    <row r="376" spans="6:9" ht="13.2">
      <c r="F376" s="1"/>
      <c r="G376" s="1"/>
      <c r="H376" s="1"/>
      <c r="I376" s="1"/>
    </row>
    <row r="377" spans="6:9" ht="13.2">
      <c r="F377" s="1"/>
      <c r="G377" s="1"/>
      <c r="H377" s="1"/>
      <c r="I377" s="1"/>
    </row>
    <row r="378" spans="6:9" ht="13.2">
      <c r="F378" s="1"/>
      <c r="G378" s="1"/>
      <c r="H378" s="1"/>
      <c r="I378" s="1"/>
    </row>
    <row r="379" spans="6:9" ht="13.2">
      <c r="F379" s="1"/>
      <c r="G379" s="1"/>
      <c r="H379" s="1"/>
      <c r="I379" s="1"/>
    </row>
    <row r="380" spans="6:9" ht="13.2">
      <c r="F380" s="1"/>
      <c r="G380" s="1"/>
      <c r="H380" s="1"/>
      <c r="I380" s="1"/>
    </row>
    <row r="381" spans="6:9" ht="13.2">
      <c r="F381" s="1"/>
      <c r="G381" s="1"/>
      <c r="H381" s="1"/>
      <c r="I381" s="1"/>
    </row>
    <row r="382" spans="6:9" ht="13.2">
      <c r="F382" s="1"/>
      <c r="G382" s="1"/>
      <c r="H382" s="1"/>
      <c r="I382" s="1"/>
    </row>
    <row r="383" spans="6:9" ht="13.2">
      <c r="F383" s="1"/>
      <c r="G383" s="1"/>
      <c r="H383" s="1"/>
      <c r="I383" s="1"/>
    </row>
    <row r="384" spans="6:9" ht="13.2">
      <c r="F384" s="1"/>
      <c r="G384" s="1"/>
      <c r="H384" s="1"/>
      <c r="I384" s="1"/>
    </row>
    <row r="385" spans="6:9" ht="13.2">
      <c r="F385" s="1"/>
      <c r="G385" s="1"/>
      <c r="H385" s="1"/>
      <c r="I385" s="1"/>
    </row>
    <row r="386" spans="6:9" ht="13.2">
      <c r="F386" s="1"/>
      <c r="G386" s="1"/>
      <c r="H386" s="1"/>
      <c r="I386" s="1"/>
    </row>
    <row r="387" spans="6:9" ht="13.2">
      <c r="F387" s="1"/>
      <c r="G387" s="1"/>
      <c r="H387" s="1"/>
      <c r="I387" s="1"/>
    </row>
    <row r="388" spans="6:9" ht="13.2">
      <c r="F388" s="1"/>
      <c r="G388" s="1"/>
      <c r="H388" s="1"/>
      <c r="I388" s="1"/>
    </row>
    <row r="389" spans="6:9" ht="13.2">
      <c r="F389" s="1"/>
      <c r="G389" s="1"/>
      <c r="H389" s="1"/>
      <c r="I389" s="1"/>
    </row>
    <row r="390" spans="6:9" ht="13.2">
      <c r="F390" s="1"/>
      <c r="G390" s="1"/>
      <c r="H390" s="1"/>
      <c r="I390" s="1"/>
    </row>
    <row r="391" spans="6:9" ht="13.2">
      <c r="F391" s="1"/>
      <c r="G391" s="1"/>
      <c r="H391" s="1"/>
      <c r="I391" s="1"/>
    </row>
    <row r="392" spans="6:9" ht="13.2">
      <c r="F392" s="1"/>
      <c r="G392" s="1"/>
      <c r="H392" s="1"/>
      <c r="I392" s="1"/>
    </row>
    <row r="393" spans="6:9" ht="13.2">
      <c r="F393" s="1"/>
      <c r="G393" s="1"/>
      <c r="H393" s="1"/>
      <c r="I393" s="1"/>
    </row>
    <row r="394" spans="6:9" ht="13.2">
      <c r="F394" s="1"/>
      <c r="G394" s="1"/>
      <c r="H394" s="1"/>
      <c r="I394" s="1"/>
    </row>
    <row r="395" spans="6:9" ht="13.2">
      <c r="F395" s="1"/>
      <c r="G395" s="1"/>
      <c r="H395" s="1"/>
      <c r="I395" s="1"/>
    </row>
    <row r="396" spans="6:9" ht="13.2">
      <c r="F396" s="1"/>
      <c r="G396" s="1"/>
      <c r="H396" s="1"/>
      <c r="I396" s="1"/>
    </row>
    <row r="397" spans="6:9" ht="13.2">
      <c r="F397" s="1"/>
      <c r="G397" s="1"/>
      <c r="H397" s="1"/>
      <c r="I397" s="1"/>
    </row>
    <row r="398" spans="6:9" ht="13.2">
      <c r="F398" s="1"/>
      <c r="G398" s="1"/>
      <c r="H398" s="1"/>
      <c r="I398" s="1"/>
    </row>
    <row r="399" spans="6:9" ht="13.2">
      <c r="F399" s="1"/>
      <c r="G399" s="1"/>
      <c r="H399" s="1"/>
      <c r="I399" s="1"/>
    </row>
    <row r="400" spans="6:9" ht="13.2">
      <c r="F400" s="1"/>
      <c r="G400" s="1"/>
      <c r="H400" s="1"/>
      <c r="I400" s="1"/>
    </row>
    <row r="401" spans="6:9" ht="13.2">
      <c r="F401" s="1"/>
      <c r="G401" s="1"/>
      <c r="H401" s="1"/>
      <c r="I401" s="1"/>
    </row>
    <row r="402" spans="6:9" ht="13.2">
      <c r="F402" s="1"/>
      <c r="G402" s="1"/>
      <c r="H402" s="1"/>
      <c r="I402" s="1"/>
    </row>
    <row r="403" spans="6:9" ht="13.2">
      <c r="F403" s="1"/>
      <c r="G403" s="1"/>
      <c r="H403" s="1"/>
      <c r="I403" s="1"/>
    </row>
    <row r="404" spans="6:9" ht="13.2">
      <c r="F404" s="1"/>
      <c r="G404" s="1"/>
      <c r="H404" s="1"/>
      <c r="I404" s="1"/>
    </row>
    <row r="405" spans="6:9" ht="13.2">
      <c r="F405" s="1"/>
      <c r="G405" s="1"/>
      <c r="H405" s="1"/>
      <c r="I405" s="1"/>
    </row>
    <row r="406" spans="6:9" ht="13.2">
      <c r="F406" s="1"/>
      <c r="G406" s="1"/>
      <c r="H406" s="1"/>
      <c r="I406" s="1"/>
    </row>
    <row r="407" spans="6:9" ht="13.2">
      <c r="F407" s="1"/>
      <c r="G407" s="1"/>
      <c r="H407" s="1"/>
      <c r="I407" s="1"/>
    </row>
    <row r="408" spans="6:9" ht="13.2">
      <c r="F408" s="1"/>
      <c r="G408" s="1"/>
      <c r="H408" s="1"/>
      <c r="I408" s="1"/>
    </row>
    <row r="409" spans="6:9" ht="13.2">
      <c r="F409" s="1"/>
      <c r="G409" s="1"/>
      <c r="H409" s="1"/>
      <c r="I409" s="1"/>
    </row>
    <row r="410" spans="6:9" ht="13.2">
      <c r="F410" s="1"/>
      <c r="G410" s="1"/>
      <c r="H410" s="1"/>
      <c r="I410" s="1"/>
    </row>
    <row r="411" spans="6:9" ht="13.2">
      <c r="F411" s="1"/>
      <c r="G411" s="1"/>
      <c r="H411" s="1"/>
      <c r="I411" s="1"/>
    </row>
    <row r="412" spans="6:9" ht="13.2">
      <c r="F412" s="1"/>
      <c r="G412" s="1"/>
      <c r="H412" s="1"/>
      <c r="I412" s="1"/>
    </row>
    <row r="413" spans="6:9" ht="13.2">
      <c r="F413" s="1"/>
      <c r="G413" s="1"/>
      <c r="H413" s="1"/>
      <c r="I413" s="1"/>
    </row>
    <row r="414" spans="6:9" ht="13.2">
      <c r="F414" s="1"/>
      <c r="G414" s="1"/>
      <c r="H414" s="1"/>
      <c r="I414" s="1"/>
    </row>
    <row r="415" spans="6:9" ht="13.2">
      <c r="F415" s="1"/>
      <c r="G415" s="1"/>
      <c r="H415" s="1"/>
      <c r="I415" s="1"/>
    </row>
    <row r="416" spans="6:9" ht="13.2">
      <c r="F416" s="1"/>
      <c r="G416" s="1"/>
      <c r="H416" s="1"/>
      <c r="I416" s="1"/>
    </row>
    <row r="417" spans="6:9" ht="13.2">
      <c r="F417" s="1"/>
      <c r="G417" s="1"/>
      <c r="H417" s="1"/>
      <c r="I417" s="1"/>
    </row>
    <row r="418" spans="6:9" ht="13.2">
      <c r="F418" s="1"/>
      <c r="G418" s="1"/>
      <c r="H418" s="1"/>
      <c r="I418" s="1"/>
    </row>
    <row r="419" spans="6:9" ht="13.2">
      <c r="F419" s="1"/>
      <c r="G419" s="1"/>
      <c r="H419" s="1"/>
      <c r="I419" s="1"/>
    </row>
    <row r="420" spans="6:9" ht="13.2">
      <c r="F420" s="1"/>
      <c r="G420" s="1"/>
      <c r="H420" s="1"/>
      <c r="I420" s="1"/>
    </row>
    <row r="421" spans="6:9" ht="13.2">
      <c r="F421" s="1"/>
      <c r="G421" s="1"/>
      <c r="H421" s="1"/>
      <c r="I421" s="1"/>
    </row>
    <row r="422" spans="6:9" ht="13.2">
      <c r="F422" s="1"/>
      <c r="G422" s="1"/>
      <c r="H422" s="1"/>
      <c r="I422" s="1"/>
    </row>
    <row r="423" spans="6:9" ht="13.2">
      <c r="F423" s="1"/>
      <c r="G423" s="1"/>
      <c r="H423" s="1"/>
      <c r="I423" s="1"/>
    </row>
    <row r="424" spans="6:9" ht="13.2">
      <c r="F424" s="1"/>
      <c r="G424" s="1"/>
      <c r="H424" s="1"/>
      <c r="I424" s="1"/>
    </row>
    <row r="425" spans="6:9" ht="13.2">
      <c r="F425" s="1"/>
      <c r="G425" s="1"/>
      <c r="H425" s="1"/>
      <c r="I425" s="1"/>
    </row>
    <row r="426" spans="6:9" ht="13.2">
      <c r="F426" s="1"/>
      <c r="G426" s="1"/>
      <c r="H426" s="1"/>
      <c r="I426" s="1"/>
    </row>
    <row r="427" spans="6:9" ht="13.2">
      <c r="F427" s="1"/>
      <c r="G427" s="1"/>
      <c r="H427" s="1"/>
      <c r="I427" s="1"/>
    </row>
    <row r="428" spans="6:9" ht="13.2">
      <c r="F428" s="1"/>
      <c r="G428" s="1"/>
      <c r="H428" s="1"/>
      <c r="I428" s="1"/>
    </row>
    <row r="429" spans="6:9" ht="13.2">
      <c r="F429" s="1"/>
      <c r="G429" s="1"/>
      <c r="H429" s="1"/>
      <c r="I429" s="1"/>
    </row>
    <row r="430" spans="6:9" ht="13.2">
      <c r="F430" s="1"/>
      <c r="G430" s="1"/>
      <c r="H430" s="1"/>
      <c r="I430" s="1"/>
    </row>
    <row r="431" spans="6:9" ht="13.2">
      <c r="F431" s="1"/>
      <c r="G431" s="1"/>
      <c r="H431" s="1"/>
      <c r="I431" s="1"/>
    </row>
    <row r="432" spans="6:9" ht="13.2">
      <c r="F432" s="1"/>
      <c r="G432" s="1"/>
      <c r="H432" s="1"/>
      <c r="I432" s="1"/>
    </row>
    <row r="433" spans="6:9" ht="13.2">
      <c r="F433" s="1"/>
      <c r="G433" s="1"/>
      <c r="H433" s="1"/>
      <c r="I433" s="1"/>
    </row>
    <row r="434" spans="6:9" ht="13.2">
      <c r="F434" s="1"/>
      <c r="G434" s="1"/>
      <c r="H434" s="1"/>
      <c r="I434" s="1"/>
    </row>
    <row r="435" spans="6:9" ht="13.2">
      <c r="F435" s="1"/>
      <c r="G435" s="1"/>
      <c r="H435" s="1"/>
      <c r="I435" s="1"/>
    </row>
    <row r="436" spans="6:9" ht="13.2">
      <c r="F436" s="1"/>
      <c r="G436" s="1"/>
      <c r="H436" s="1"/>
      <c r="I436" s="1"/>
    </row>
    <row r="437" spans="6:9" ht="13.2">
      <c r="F437" s="1"/>
      <c r="G437" s="1"/>
      <c r="H437" s="1"/>
      <c r="I437" s="1"/>
    </row>
    <row r="438" spans="6:9" ht="13.2">
      <c r="F438" s="1"/>
      <c r="G438" s="1"/>
      <c r="H438" s="1"/>
      <c r="I438" s="1"/>
    </row>
    <row r="439" spans="6:9" ht="13.2">
      <c r="F439" s="1"/>
      <c r="G439" s="1"/>
      <c r="H439" s="1"/>
      <c r="I439" s="1"/>
    </row>
    <row r="440" spans="6:9" ht="13.2">
      <c r="F440" s="1"/>
      <c r="G440" s="1"/>
      <c r="H440" s="1"/>
      <c r="I440" s="1"/>
    </row>
    <row r="441" spans="6:9" ht="13.2">
      <c r="F441" s="1"/>
      <c r="G441" s="1"/>
      <c r="H441" s="1"/>
      <c r="I441" s="1"/>
    </row>
    <row r="442" spans="6:9" ht="13.2">
      <c r="F442" s="1"/>
      <c r="G442" s="1"/>
      <c r="H442" s="1"/>
      <c r="I442" s="1"/>
    </row>
    <row r="443" spans="6:9" ht="13.2">
      <c r="F443" s="1"/>
      <c r="G443" s="1"/>
      <c r="H443" s="1"/>
      <c r="I443" s="1"/>
    </row>
    <row r="444" spans="6:9" ht="13.2">
      <c r="F444" s="1"/>
      <c r="G444" s="1"/>
      <c r="H444" s="1"/>
      <c r="I444" s="1"/>
    </row>
    <row r="445" spans="6:9" ht="13.2">
      <c r="F445" s="1"/>
      <c r="G445" s="1"/>
      <c r="H445" s="1"/>
      <c r="I445" s="1"/>
    </row>
    <row r="446" spans="6:9" ht="13.2">
      <c r="F446" s="1"/>
      <c r="G446" s="1"/>
      <c r="H446" s="1"/>
      <c r="I446" s="1"/>
    </row>
    <row r="447" spans="6:9" ht="13.2">
      <c r="F447" s="1"/>
      <c r="G447" s="1"/>
      <c r="H447" s="1"/>
      <c r="I447" s="1"/>
    </row>
    <row r="448" spans="6:9" ht="13.2">
      <c r="F448" s="1"/>
      <c r="G448" s="1"/>
      <c r="H448" s="1"/>
      <c r="I448" s="1"/>
    </row>
    <row r="449" spans="6:9" ht="13.2">
      <c r="F449" s="1"/>
      <c r="G449" s="1"/>
      <c r="H449" s="1"/>
      <c r="I449" s="1"/>
    </row>
    <row r="450" spans="6:9" ht="13.2">
      <c r="F450" s="1"/>
      <c r="G450" s="1"/>
      <c r="H450" s="1"/>
      <c r="I450" s="1"/>
    </row>
    <row r="451" spans="6:9" ht="13.2">
      <c r="F451" s="1"/>
      <c r="G451" s="1"/>
      <c r="H451" s="1"/>
      <c r="I451" s="1"/>
    </row>
    <row r="452" spans="6:9" ht="13.2">
      <c r="F452" s="1"/>
      <c r="G452" s="1"/>
      <c r="H452" s="1"/>
      <c r="I452" s="1"/>
    </row>
    <row r="453" spans="6:9" ht="13.2">
      <c r="F453" s="1"/>
      <c r="G453" s="1"/>
      <c r="H453" s="1"/>
      <c r="I453" s="1"/>
    </row>
    <row r="454" spans="6:9" ht="13.2">
      <c r="F454" s="1"/>
      <c r="G454" s="1"/>
      <c r="H454" s="1"/>
      <c r="I454" s="1"/>
    </row>
    <row r="455" spans="6:9" ht="13.2">
      <c r="F455" s="1"/>
      <c r="G455" s="1"/>
      <c r="H455" s="1"/>
      <c r="I455" s="1"/>
    </row>
    <row r="456" spans="6:9" ht="13.2">
      <c r="F456" s="1"/>
      <c r="G456" s="1"/>
      <c r="H456" s="1"/>
      <c r="I456" s="1"/>
    </row>
    <row r="457" spans="6:9" ht="13.2">
      <c r="F457" s="1"/>
      <c r="G457" s="1"/>
      <c r="H457" s="1"/>
      <c r="I457" s="1"/>
    </row>
    <row r="458" spans="6:9" ht="13.2">
      <c r="F458" s="1"/>
      <c r="G458" s="1"/>
      <c r="H458" s="1"/>
      <c r="I458" s="1"/>
    </row>
    <row r="459" spans="6:9" ht="13.2">
      <c r="F459" s="1"/>
      <c r="G459" s="1"/>
      <c r="H459" s="1"/>
      <c r="I459" s="1"/>
    </row>
    <row r="460" spans="6:9" ht="13.2">
      <c r="F460" s="1"/>
      <c r="G460" s="1"/>
      <c r="H460" s="1"/>
      <c r="I460" s="1"/>
    </row>
    <row r="461" spans="6:9" ht="13.2">
      <c r="F461" s="1"/>
      <c r="G461" s="1"/>
      <c r="H461" s="1"/>
      <c r="I461" s="1"/>
    </row>
    <row r="462" spans="6:9" ht="13.2">
      <c r="F462" s="1"/>
      <c r="G462" s="1"/>
      <c r="H462" s="1"/>
      <c r="I462" s="1"/>
    </row>
    <row r="463" spans="6:9" ht="13.2">
      <c r="F463" s="1"/>
      <c r="G463" s="1"/>
      <c r="H463" s="1"/>
      <c r="I463" s="1"/>
    </row>
    <row r="464" spans="6:9" ht="13.2">
      <c r="F464" s="1"/>
      <c r="G464" s="1"/>
      <c r="H464" s="1"/>
      <c r="I464" s="1"/>
    </row>
    <row r="465" spans="6:9" ht="13.2">
      <c r="F465" s="1"/>
      <c r="G465" s="1"/>
      <c r="H465" s="1"/>
      <c r="I465" s="1"/>
    </row>
    <row r="466" spans="6:9" ht="13.2">
      <c r="F466" s="1"/>
      <c r="G466" s="1"/>
      <c r="H466" s="1"/>
      <c r="I466" s="1"/>
    </row>
    <row r="467" spans="6:9" ht="13.2">
      <c r="F467" s="1"/>
      <c r="G467" s="1"/>
      <c r="H467" s="1"/>
      <c r="I467" s="1"/>
    </row>
    <row r="468" spans="6:9" ht="13.2">
      <c r="F468" s="1"/>
      <c r="G468" s="1"/>
      <c r="H468" s="1"/>
      <c r="I468" s="1"/>
    </row>
    <row r="469" spans="6:9" ht="13.2">
      <c r="F469" s="1"/>
      <c r="G469" s="1"/>
      <c r="H469" s="1"/>
      <c r="I469" s="1"/>
    </row>
    <row r="470" spans="6:9" ht="13.2">
      <c r="F470" s="1"/>
      <c r="G470" s="1"/>
      <c r="H470" s="1"/>
      <c r="I470" s="1"/>
    </row>
    <row r="471" spans="6:9" ht="13.2">
      <c r="F471" s="1"/>
      <c r="G471" s="1"/>
      <c r="H471" s="1"/>
      <c r="I471" s="1"/>
    </row>
    <row r="472" spans="6:9" ht="13.2">
      <c r="F472" s="1"/>
      <c r="G472" s="1"/>
      <c r="H472" s="1"/>
      <c r="I472" s="1"/>
    </row>
    <row r="473" spans="6:9" ht="13.2">
      <c r="F473" s="1"/>
      <c r="G473" s="1"/>
      <c r="H473" s="1"/>
      <c r="I473" s="1"/>
    </row>
    <row r="474" spans="6:9" ht="13.2">
      <c r="F474" s="1"/>
      <c r="G474" s="1"/>
      <c r="H474" s="1"/>
      <c r="I474" s="1"/>
    </row>
    <row r="475" spans="6:9" ht="13.2">
      <c r="F475" s="1"/>
      <c r="G475" s="1"/>
      <c r="H475" s="1"/>
      <c r="I475" s="1"/>
    </row>
    <row r="476" spans="6:9" ht="13.2">
      <c r="F476" s="1"/>
      <c r="G476" s="1"/>
      <c r="H476" s="1"/>
      <c r="I476" s="1"/>
    </row>
    <row r="477" spans="6:9" ht="13.2">
      <c r="F477" s="1"/>
      <c r="G477" s="1"/>
      <c r="H477" s="1"/>
      <c r="I477" s="1"/>
    </row>
    <row r="478" spans="6:9" ht="13.2">
      <c r="F478" s="1"/>
      <c r="G478" s="1"/>
      <c r="H478" s="1"/>
      <c r="I478" s="1"/>
    </row>
    <row r="479" spans="6:9" ht="13.2">
      <c r="F479" s="1"/>
      <c r="G479" s="1"/>
      <c r="H479" s="1"/>
      <c r="I479" s="1"/>
    </row>
    <row r="480" spans="6:9" ht="13.2">
      <c r="F480" s="1"/>
      <c r="G480" s="1"/>
      <c r="H480" s="1"/>
      <c r="I480" s="1"/>
    </row>
    <row r="481" spans="6:9" ht="13.2">
      <c r="F481" s="1"/>
      <c r="G481" s="1"/>
      <c r="H481" s="1"/>
      <c r="I481" s="1"/>
    </row>
    <row r="482" spans="6:9" ht="13.2">
      <c r="F482" s="1"/>
      <c r="G482" s="1"/>
      <c r="H482" s="1"/>
      <c r="I482" s="1"/>
    </row>
    <row r="483" spans="6:9" ht="13.2">
      <c r="F483" s="1"/>
      <c r="G483" s="1"/>
      <c r="H483" s="1"/>
      <c r="I483" s="1"/>
    </row>
    <row r="484" spans="6:9" ht="13.2">
      <c r="F484" s="1"/>
      <c r="G484" s="1"/>
      <c r="H484" s="1"/>
      <c r="I484" s="1"/>
    </row>
    <row r="485" spans="6:9" ht="13.2">
      <c r="F485" s="1"/>
      <c r="G485" s="1"/>
      <c r="H485" s="1"/>
      <c r="I485" s="1"/>
    </row>
    <row r="486" spans="6:9" ht="13.2">
      <c r="F486" s="1"/>
      <c r="G486" s="1"/>
      <c r="H486" s="1"/>
      <c r="I486" s="1"/>
    </row>
    <row r="487" spans="6:9" ht="13.2">
      <c r="F487" s="1"/>
      <c r="G487" s="1"/>
      <c r="H487" s="1"/>
      <c r="I487" s="1"/>
    </row>
    <row r="488" spans="6:9" ht="13.2">
      <c r="F488" s="1"/>
      <c r="G488" s="1"/>
      <c r="H488" s="1"/>
      <c r="I488" s="1"/>
    </row>
    <row r="489" spans="6:9" ht="13.2">
      <c r="F489" s="1"/>
      <c r="G489" s="1"/>
      <c r="H489" s="1"/>
      <c r="I489" s="1"/>
    </row>
    <row r="490" spans="6:9" ht="13.2">
      <c r="F490" s="1"/>
      <c r="G490" s="1"/>
      <c r="H490" s="1"/>
      <c r="I490" s="1"/>
    </row>
    <row r="491" spans="6:9" ht="13.2">
      <c r="F491" s="1"/>
      <c r="G491" s="1"/>
      <c r="H491" s="1"/>
      <c r="I491" s="1"/>
    </row>
    <row r="492" spans="6:9" ht="13.2">
      <c r="F492" s="1"/>
      <c r="G492" s="1"/>
      <c r="H492" s="1"/>
      <c r="I492" s="1"/>
    </row>
    <row r="493" spans="6:9" ht="13.2">
      <c r="F493" s="1"/>
      <c r="G493" s="1"/>
      <c r="H493" s="1"/>
      <c r="I493" s="1"/>
    </row>
    <row r="494" spans="6:9" ht="13.2">
      <c r="F494" s="1"/>
      <c r="G494" s="1"/>
      <c r="H494" s="1"/>
      <c r="I494" s="1"/>
    </row>
    <row r="495" spans="6:9" ht="13.2">
      <c r="F495" s="1"/>
      <c r="G495" s="1"/>
      <c r="H495" s="1"/>
      <c r="I495" s="1"/>
    </row>
    <row r="496" spans="6:9" ht="13.2">
      <c r="F496" s="1"/>
      <c r="G496" s="1"/>
      <c r="H496" s="1"/>
      <c r="I496" s="1"/>
    </row>
    <row r="497" spans="6:9" ht="13.2">
      <c r="F497" s="1"/>
      <c r="G497" s="1"/>
      <c r="H497" s="1"/>
      <c r="I497" s="1"/>
    </row>
    <row r="498" spans="6:9" ht="13.2">
      <c r="F498" s="1"/>
      <c r="G498" s="1"/>
      <c r="H498" s="1"/>
      <c r="I498" s="1"/>
    </row>
    <row r="499" spans="6:9" ht="13.2">
      <c r="F499" s="1"/>
      <c r="G499" s="1"/>
      <c r="H499" s="1"/>
      <c r="I499" s="1"/>
    </row>
    <row r="500" spans="6:9" ht="13.2">
      <c r="F500" s="1"/>
      <c r="G500" s="1"/>
      <c r="H500" s="1"/>
      <c r="I500" s="1"/>
    </row>
    <row r="501" spans="6:9" ht="13.2">
      <c r="F501" s="1"/>
      <c r="G501" s="1"/>
      <c r="H501" s="1"/>
      <c r="I501" s="1"/>
    </row>
    <row r="502" spans="6:9" ht="13.2">
      <c r="F502" s="1"/>
      <c r="G502" s="1"/>
      <c r="H502" s="1"/>
      <c r="I502" s="1"/>
    </row>
    <row r="503" spans="6:9" ht="13.2">
      <c r="F503" s="1"/>
      <c r="G503" s="1"/>
      <c r="H503" s="1"/>
      <c r="I503" s="1"/>
    </row>
    <row r="504" spans="6:9" ht="13.2">
      <c r="F504" s="1"/>
      <c r="G504" s="1"/>
      <c r="H504" s="1"/>
      <c r="I504" s="1"/>
    </row>
    <row r="505" spans="6:9" ht="13.2">
      <c r="F505" s="1"/>
      <c r="G505" s="1"/>
      <c r="H505" s="1"/>
      <c r="I505" s="1"/>
    </row>
    <row r="506" spans="6:9" ht="13.2">
      <c r="F506" s="1"/>
      <c r="G506" s="1"/>
      <c r="H506" s="1"/>
      <c r="I506" s="1"/>
    </row>
    <row r="507" spans="6:9" ht="13.2">
      <c r="F507" s="1"/>
      <c r="G507" s="1"/>
      <c r="H507" s="1"/>
      <c r="I507" s="1"/>
    </row>
    <row r="508" spans="6:9" ht="13.2">
      <c r="F508" s="1"/>
      <c r="G508" s="1"/>
      <c r="H508" s="1"/>
      <c r="I508" s="1"/>
    </row>
    <row r="509" spans="6:9" ht="13.2">
      <c r="F509" s="1"/>
      <c r="G509" s="1"/>
      <c r="H509" s="1"/>
      <c r="I509" s="1"/>
    </row>
    <row r="510" spans="6:9" ht="13.2">
      <c r="F510" s="1"/>
      <c r="G510" s="1"/>
      <c r="H510" s="1"/>
      <c r="I510" s="1"/>
    </row>
    <row r="511" spans="6:9" ht="13.2">
      <c r="F511" s="1"/>
      <c r="G511" s="1"/>
      <c r="H511" s="1"/>
      <c r="I511" s="1"/>
    </row>
    <row r="512" spans="6:9" ht="13.2">
      <c r="F512" s="1"/>
      <c r="G512" s="1"/>
      <c r="H512" s="1"/>
      <c r="I512" s="1"/>
    </row>
    <row r="513" spans="6:9" ht="13.2">
      <c r="F513" s="1"/>
      <c r="G513" s="1"/>
      <c r="H513" s="1"/>
      <c r="I513" s="1"/>
    </row>
    <row r="514" spans="6:9" ht="13.2">
      <c r="F514" s="1"/>
      <c r="G514" s="1"/>
      <c r="H514" s="1"/>
      <c r="I514" s="1"/>
    </row>
    <row r="515" spans="6:9" ht="13.2">
      <c r="F515" s="1"/>
      <c r="G515" s="1"/>
      <c r="H515" s="1"/>
      <c r="I515" s="1"/>
    </row>
    <row r="516" spans="6:9" ht="13.2">
      <c r="F516" s="1"/>
      <c r="G516" s="1"/>
      <c r="H516" s="1"/>
      <c r="I516" s="1"/>
    </row>
    <row r="517" spans="6:9" ht="13.2">
      <c r="F517" s="1"/>
      <c r="G517" s="1"/>
      <c r="H517" s="1"/>
      <c r="I517" s="1"/>
    </row>
    <row r="518" spans="6:9" ht="13.2">
      <c r="F518" s="1"/>
      <c r="G518" s="1"/>
      <c r="H518" s="1"/>
      <c r="I518" s="1"/>
    </row>
    <row r="519" spans="6:9" ht="13.2">
      <c r="F519" s="1"/>
      <c r="G519" s="1"/>
      <c r="H519" s="1"/>
      <c r="I519" s="1"/>
    </row>
    <row r="520" spans="6:9" ht="13.2">
      <c r="F520" s="1"/>
      <c r="G520" s="1"/>
      <c r="H520" s="1"/>
      <c r="I520" s="1"/>
    </row>
    <row r="521" spans="6:9" ht="13.2">
      <c r="F521" s="1"/>
      <c r="G521" s="1"/>
      <c r="H521" s="1"/>
      <c r="I521" s="1"/>
    </row>
    <row r="522" spans="6:9" ht="13.2">
      <c r="F522" s="1"/>
      <c r="G522" s="1"/>
      <c r="H522" s="1"/>
      <c r="I522" s="1"/>
    </row>
    <row r="523" spans="6:9" ht="13.2">
      <c r="F523" s="1"/>
      <c r="G523" s="1"/>
      <c r="H523" s="1"/>
      <c r="I523" s="1"/>
    </row>
    <row r="524" spans="6:9" ht="13.2">
      <c r="F524" s="1"/>
      <c r="G524" s="1"/>
      <c r="H524" s="1"/>
      <c r="I524" s="1"/>
    </row>
    <row r="525" spans="6:9" ht="13.2">
      <c r="F525" s="1"/>
      <c r="G525" s="1"/>
      <c r="H525" s="1"/>
      <c r="I525" s="1"/>
    </row>
    <row r="526" spans="6:9" ht="13.2">
      <c r="F526" s="1"/>
      <c r="G526" s="1"/>
      <c r="H526" s="1"/>
      <c r="I526" s="1"/>
    </row>
    <row r="527" spans="6:9" ht="13.2">
      <c r="F527" s="1"/>
      <c r="G527" s="1"/>
      <c r="H527" s="1"/>
      <c r="I527" s="1"/>
    </row>
    <row r="528" spans="6:9" ht="13.2">
      <c r="F528" s="1"/>
      <c r="G528" s="1"/>
      <c r="H528" s="1"/>
      <c r="I528" s="1"/>
    </row>
    <row r="529" spans="6:9" ht="13.2">
      <c r="F529" s="1"/>
      <c r="G529" s="1"/>
      <c r="H529" s="1"/>
      <c r="I529" s="1"/>
    </row>
    <row r="530" spans="6:9" ht="13.2">
      <c r="F530" s="1"/>
      <c r="G530" s="1"/>
      <c r="H530" s="1"/>
      <c r="I530" s="1"/>
    </row>
    <row r="531" spans="6:9" ht="13.2">
      <c r="F531" s="1"/>
      <c r="G531" s="1"/>
      <c r="H531" s="1"/>
      <c r="I531" s="1"/>
    </row>
    <row r="532" spans="6:9" ht="13.2">
      <c r="F532" s="1"/>
      <c r="G532" s="1"/>
      <c r="H532" s="1"/>
      <c r="I532" s="1"/>
    </row>
    <row r="533" spans="6:9" ht="13.2">
      <c r="F533" s="1"/>
      <c r="G533" s="1"/>
      <c r="H533" s="1"/>
      <c r="I533" s="1"/>
    </row>
    <row r="534" spans="6:9" ht="13.2">
      <c r="F534" s="1"/>
      <c r="G534" s="1"/>
      <c r="H534" s="1"/>
      <c r="I534" s="1"/>
    </row>
    <row r="535" spans="6:9" ht="13.2">
      <c r="F535" s="1"/>
      <c r="G535" s="1"/>
      <c r="H535" s="1"/>
      <c r="I535" s="1"/>
    </row>
    <row r="536" spans="6:9" ht="13.2">
      <c r="F536" s="1"/>
      <c r="G536" s="1"/>
      <c r="H536" s="1"/>
      <c r="I536" s="1"/>
    </row>
    <row r="537" spans="6:9" ht="13.2">
      <c r="F537" s="1"/>
      <c r="G537" s="1"/>
      <c r="H537" s="1"/>
      <c r="I537" s="1"/>
    </row>
    <row r="538" spans="6:9" ht="13.2">
      <c r="F538" s="1"/>
      <c r="G538" s="1"/>
      <c r="H538" s="1"/>
      <c r="I538" s="1"/>
    </row>
    <row r="539" spans="6:9" ht="13.2">
      <c r="F539" s="1"/>
      <c r="G539" s="1"/>
      <c r="H539" s="1"/>
      <c r="I539" s="1"/>
    </row>
    <row r="540" spans="6:9" ht="13.2">
      <c r="F540" s="1"/>
      <c r="G540" s="1"/>
      <c r="H540" s="1"/>
      <c r="I540" s="1"/>
    </row>
    <row r="541" spans="6:9" ht="13.2">
      <c r="F541" s="1"/>
      <c r="G541" s="1"/>
      <c r="H541" s="1"/>
      <c r="I541" s="1"/>
    </row>
    <row r="542" spans="6:9" ht="13.2">
      <c r="F542" s="1"/>
      <c r="G542" s="1"/>
      <c r="H542" s="1"/>
      <c r="I542" s="1"/>
    </row>
    <row r="543" spans="6:9" ht="13.2">
      <c r="F543" s="1"/>
      <c r="G543" s="1"/>
      <c r="H543" s="1"/>
      <c r="I543" s="1"/>
    </row>
    <row r="544" spans="6:9" ht="13.2">
      <c r="F544" s="1"/>
      <c r="G544" s="1"/>
      <c r="H544" s="1"/>
      <c r="I544" s="1"/>
    </row>
    <row r="545" spans="6:9" ht="13.2">
      <c r="F545" s="1"/>
      <c r="G545" s="1"/>
      <c r="H545" s="1"/>
      <c r="I545" s="1"/>
    </row>
    <row r="546" spans="6:9" ht="13.2">
      <c r="F546" s="1"/>
      <c r="G546" s="1"/>
      <c r="H546" s="1"/>
      <c r="I546" s="1"/>
    </row>
    <row r="547" spans="6:9" ht="13.2">
      <c r="F547" s="1"/>
      <c r="G547" s="1"/>
      <c r="H547" s="1"/>
      <c r="I547" s="1"/>
    </row>
    <row r="548" spans="6:9" ht="13.2">
      <c r="F548" s="1"/>
      <c r="G548" s="1"/>
      <c r="H548" s="1"/>
      <c r="I548" s="1"/>
    </row>
    <row r="549" spans="6:9" ht="13.2">
      <c r="F549" s="1"/>
      <c r="G549" s="1"/>
      <c r="H549" s="1"/>
      <c r="I549" s="1"/>
    </row>
    <row r="550" spans="6:9" ht="13.2">
      <c r="F550" s="1"/>
      <c r="G550" s="1"/>
      <c r="H550" s="1"/>
      <c r="I550" s="1"/>
    </row>
    <row r="551" spans="6:9" ht="13.2">
      <c r="F551" s="1"/>
      <c r="G551" s="1"/>
      <c r="H551" s="1"/>
      <c r="I551" s="1"/>
    </row>
    <row r="552" spans="6:9" ht="13.2">
      <c r="F552" s="1"/>
      <c r="G552" s="1"/>
      <c r="H552" s="1"/>
      <c r="I552" s="1"/>
    </row>
    <row r="553" spans="6:9" ht="13.2">
      <c r="F553" s="1"/>
      <c r="G553" s="1"/>
      <c r="H553" s="1"/>
      <c r="I553" s="1"/>
    </row>
    <row r="554" spans="6:9" ht="13.2">
      <c r="F554" s="1"/>
      <c r="G554" s="1"/>
      <c r="H554" s="1"/>
      <c r="I554" s="1"/>
    </row>
    <row r="555" spans="6:9" ht="13.2">
      <c r="F555" s="1"/>
      <c r="G555" s="1"/>
      <c r="H555" s="1"/>
      <c r="I555" s="1"/>
    </row>
    <row r="556" spans="6:9" ht="13.2">
      <c r="F556" s="1"/>
      <c r="G556" s="1"/>
      <c r="H556" s="1"/>
      <c r="I556" s="1"/>
    </row>
    <row r="557" spans="6:9" ht="13.2">
      <c r="F557" s="1"/>
      <c r="G557" s="1"/>
      <c r="H557" s="1"/>
      <c r="I557" s="1"/>
    </row>
    <row r="558" spans="6:9" ht="13.2">
      <c r="F558" s="1"/>
      <c r="G558" s="1"/>
      <c r="H558" s="1"/>
      <c r="I558" s="1"/>
    </row>
    <row r="559" spans="6:9" ht="13.2">
      <c r="F559" s="1"/>
      <c r="G559" s="1"/>
      <c r="H559" s="1"/>
      <c r="I559" s="1"/>
    </row>
    <row r="560" spans="6:9" ht="13.2">
      <c r="F560" s="1"/>
      <c r="G560" s="1"/>
      <c r="H560" s="1"/>
      <c r="I560" s="1"/>
    </row>
    <row r="561" spans="6:9" ht="13.2">
      <c r="F561" s="1"/>
      <c r="G561" s="1"/>
      <c r="H561" s="1"/>
      <c r="I561" s="1"/>
    </row>
    <row r="562" spans="6:9" ht="13.2">
      <c r="F562" s="1"/>
      <c r="G562" s="1"/>
      <c r="H562" s="1"/>
      <c r="I562" s="1"/>
    </row>
    <row r="563" spans="6:9" ht="13.2">
      <c r="F563" s="1"/>
      <c r="G563" s="1"/>
      <c r="H563" s="1"/>
      <c r="I563" s="1"/>
    </row>
    <row r="564" spans="6:9" ht="13.2">
      <c r="F564" s="1"/>
      <c r="G564" s="1"/>
      <c r="H564" s="1"/>
      <c r="I564" s="1"/>
    </row>
    <row r="565" spans="6:9" ht="13.2">
      <c r="F565" s="1"/>
      <c r="G565" s="1"/>
      <c r="H565" s="1"/>
      <c r="I565" s="1"/>
    </row>
    <row r="566" spans="6:9" ht="13.2">
      <c r="F566" s="1"/>
      <c r="G566" s="1"/>
      <c r="H566" s="1"/>
      <c r="I566" s="1"/>
    </row>
    <row r="567" spans="6:9" ht="13.2">
      <c r="F567" s="1"/>
      <c r="G567" s="1"/>
      <c r="H567" s="1"/>
      <c r="I567" s="1"/>
    </row>
    <row r="568" spans="6:9" ht="13.2">
      <c r="F568" s="1"/>
      <c r="G568" s="1"/>
      <c r="H568" s="1"/>
      <c r="I568" s="1"/>
    </row>
    <row r="569" spans="6:9" ht="13.2">
      <c r="F569" s="1"/>
      <c r="G569" s="1"/>
      <c r="H569" s="1"/>
      <c r="I569" s="1"/>
    </row>
    <row r="570" spans="6:9" ht="13.2">
      <c r="F570" s="1"/>
      <c r="G570" s="1"/>
      <c r="H570" s="1"/>
      <c r="I570" s="1"/>
    </row>
    <row r="571" spans="6:9" ht="13.2">
      <c r="F571" s="1"/>
      <c r="G571" s="1"/>
      <c r="H571" s="1"/>
      <c r="I571" s="1"/>
    </row>
    <row r="572" spans="6:9" ht="13.2">
      <c r="F572" s="1"/>
      <c r="G572" s="1"/>
      <c r="H572" s="1"/>
      <c r="I572" s="1"/>
    </row>
    <row r="573" spans="6:9" ht="13.2">
      <c r="F573" s="1"/>
      <c r="G573" s="1"/>
      <c r="H573" s="1"/>
      <c r="I573" s="1"/>
    </row>
    <row r="574" spans="6:9" ht="13.2">
      <c r="F574" s="1"/>
      <c r="G574" s="1"/>
      <c r="H574" s="1"/>
      <c r="I574" s="1"/>
    </row>
    <row r="575" spans="6:9" ht="13.2">
      <c r="F575" s="1"/>
      <c r="G575" s="1"/>
      <c r="H575" s="1"/>
      <c r="I575" s="1"/>
    </row>
    <row r="576" spans="6:9" ht="13.2">
      <c r="F576" s="1"/>
      <c r="G576" s="1"/>
      <c r="H576" s="1"/>
      <c r="I576" s="1"/>
    </row>
    <row r="577" spans="6:9" ht="13.2">
      <c r="F577" s="1"/>
      <c r="G577" s="1"/>
      <c r="H577" s="1"/>
      <c r="I577" s="1"/>
    </row>
    <row r="578" spans="6:9" ht="13.2">
      <c r="F578" s="1"/>
      <c r="G578" s="1"/>
      <c r="H578" s="1"/>
      <c r="I578" s="1"/>
    </row>
    <row r="579" spans="6:9" ht="13.2">
      <c r="F579" s="1"/>
      <c r="G579" s="1"/>
      <c r="H579" s="1"/>
      <c r="I579" s="1"/>
    </row>
    <row r="580" spans="6:9" ht="13.2">
      <c r="F580" s="1"/>
      <c r="G580" s="1"/>
      <c r="H580" s="1"/>
      <c r="I580" s="1"/>
    </row>
    <row r="581" spans="6:9" ht="13.2">
      <c r="F581" s="1"/>
      <c r="G581" s="1"/>
      <c r="H581" s="1"/>
      <c r="I581" s="1"/>
    </row>
    <row r="582" spans="6:9" ht="13.2">
      <c r="F582" s="1"/>
      <c r="G582" s="1"/>
      <c r="H582" s="1"/>
      <c r="I582" s="1"/>
    </row>
    <row r="583" spans="6:9" ht="13.2">
      <c r="F583" s="1"/>
      <c r="G583" s="1"/>
      <c r="H583" s="1"/>
      <c r="I583" s="1"/>
    </row>
    <row r="584" spans="6:9" ht="13.2">
      <c r="F584" s="1"/>
      <c r="G584" s="1"/>
      <c r="H584" s="1"/>
      <c r="I584" s="1"/>
    </row>
    <row r="585" spans="6:9" ht="13.2">
      <c r="F585" s="1"/>
      <c r="G585" s="1"/>
      <c r="H585" s="1"/>
      <c r="I585" s="1"/>
    </row>
    <row r="586" spans="6:9" ht="13.2">
      <c r="F586" s="1"/>
      <c r="G586" s="1"/>
      <c r="H586" s="1"/>
      <c r="I586" s="1"/>
    </row>
    <row r="587" spans="6:9" ht="13.2">
      <c r="F587" s="1"/>
      <c r="G587" s="1"/>
      <c r="H587" s="1"/>
      <c r="I587" s="1"/>
    </row>
    <row r="588" spans="6:9" ht="13.2">
      <c r="F588" s="1"/>
      <c r="G588" s="1"/>
      <c r="H588" s="1"/>
      <c r="I588" s="1"/>
    </row>
    <row r="589" spans="6:9" ht="13.2">
      <c r="F589" s="1"/>
      <c r="G589" s="1"/>
      <c r="H589" s="1"/>
      <c r="I589" s="1"/>
    </row>
    <row r="590" spans="6:9" ht="13.2">
      <c r="F590" s="1"/>
      <c r="G590" s="1"/>
      <c r="H590" s="1"/>
      <c r="I590" s="1"/>
    </row>
    <row r="591" spans="6:9" ht="13.2">
      <c r="F591" s="1"/>
      <c r="G591" s="1"/>
      <c r="H591" s="1"/>
      <c r="I591" s="1"/>
    </row>
    <row r="592" spans="6:9" ht="13.2">
      <c r="F592" s="1"/>
      <c r="G592" s="1"/>
      <c r="H592" s="1"/>
      <c r="I592" s="1"/>
    </row>
    <row r="593" spans="6:9" ht="13.2">
      <c r="F593" s="1"/>
      <c r="G593" s="1"/>
      <c r="H593" s="1"/>
      <c r="I593" s="1"/>
    </row>
    <row r="594" spans="6:9" ht="13.2">
      <c r="F594" s="1"/>
      <c r="G594" s="1"/>
      <c r="H594" s="1"/>
      <c r="I594" s="1"/>
    </row>
    <row r="595" spans="6:9" ht="13.2">
      <c r="F595" s="1"/>
      <c r="G595" s="1"/>
      <c r="H595" s="1"/>
      <c r="I595" s="1"/>
    </row>
    <row r="596" spans="6:9" ht="13.2">
      <c r="F596" s="1"/>
      <c r="G596" s="1"/>
      <c r="H596" s="1"/>
      <c r="I596" s="1"/>
    </row>
    <row r="597" spans="6:9" ht="13.2">
      <c r="F597" s="1"/>
      <c r="G597" s="1"/>
      <c r="H597" s="1"/>
      <c r="I597" s="1"/>
    </row>
    <row r="598" spans="6:9" ht="13.2">
      <c r="F598" s="1"/>
      <c r="G598" s="1"/>
      <c r="H598" s="1"/>
      <c r="I598" s="1"/>
    </row>
    <row r="599" spans="6:9" ht="13.2">
      <c r="F599" s="1"/>
      <c r="G599" s="1"/>
      <c r="H599" s="1"/>
      <c r="I599" s="1"/>
    </row>
    <row r="600" spans="6:9" ht="13.2">
      <c r="F600" s="1"/>
      <c r="G600" s="1"/>
      <c r="H600" s="1"/>
      <c r="I600" s="1"/>
    </row>
    <row r="601" spans="6:9" ht="13.2">
      <c r="F601" s="1"/>
      <c r="G601" s="1"/>
      <c r="H601" s="1"/>
      <c r="I601" s="1"/>
    </row>
    <row r="602" spans="6:9" ht="13.2">
      <c r="F602" s="1"/>
      <c r="G602" s="1"/>
      <c r="H602" s="1"/>
      <c r="I602" s="1"/>
    </row>
    <row r="603" spans="6:9" ht="13.2">
      <c r="F603" s="1"/>
      <c r="G603" s="1"/>
      <c r="H603" s="1"/>
      <c r="I603" s="1"/>
    </row>
    <row r="604" spans="6:9" ht="13.2">
      <c r="F604" s="1"/>
      <c r="G604" s="1"/>
      <c r="H604" s="1"/>
      <c r="I604" s="1"/>
    </row>
    <row r="605" spans="6:9" ht="13.2">
      <c r="F605" s="1"/>
      <c r="G605" s="1"/>
      <c r="H605" s="1"/>
      <c r="I605" s="1"/>
    </row>
    <row r="606" spans="6:9" ht="13.2">
      <c r="F606" s="1"/>
      <c r="G606" s="1"/>
      <c r="H606" s="1"/>
      <c r="I606" s="1"/>
    </row>
    <row r="607" spans="6:9" ht="13.2">
      <c r="F607" s="1"/>
      <c r="G607" s="1"/>
      <c r="H607" s="1"/>
      <c r="I607" s="1"/>
    </row>
    <row r="608" spans="6:9" ht="13.2">
      <c r="F608" s="1"/>
      <c r="G608" s="1"/>
      <c r="H608" s="1"/>
      <c r="I608" s="1"/>
    </row>
    <row r="609" spans="6:9" ht="13.2">
      <c r="F609" s="1"/>
      <c r="G609" s="1"/>
      <c r="H609" s="1"/>
      <c r="I609" s="1"/>
    </row>
    <row r="610" spans="6:9" ht="13.2">
      <c r="F610" s="1"/>
      <c r="G610" s="1"/>
      <c r="H610" s="1"/>
      <c r="I610" s="1"/>
    </row>
    <row r="611" spans="6:9" ht="13.2">
      <c r="F611" s="1"/>
      <c r="G611" s="1"/>
      <c r="H611" s="1"/>
      <c r="I611" s="1"/>
    </row>
    <row r="612" spans="6:9" ht="13.2">
      <c r="F612" s="1"/>
      <c r="G612" s="1"/>
      <c r="H612" s="1"/>
      <c r="I612" s="1"/>
    </row>
    <row r="613" spans="6:9" ht="13.2">
      <c r="F613" s="1"/>
      <c r="G613" s="1"/>
      <c r="H613" s="1"/>
      <c r="I613" s="1"/>
    </row>
    <row r="614" spans="6:9" ht="13.2">
      <c r="F614" s="1"/>
      <c r="G614" s="1"/>
      <c r="H614" s="1"/>
      <c r="I614" s="1"/>
    </row>
    <row r="615" spans="6:9" ht="13.2">
      <c r="F615" s="1"/>
      <c r="G615" s="1"/>
      <c r="H615" s="1"/>
      <c r="I615" s="1"/>
    </row>
    <row r="616" spans="6:9" ht="13.2">
      <c r="F616" s="1"/>
      <c r="G616" s="1"/>
      <c r="H616" s="1"/>
      <c r="I616" s="1"/>
    </row>
    <row r="617" spans="6:9" ht="13.2">
      <c r="F617" s="1"/>
      <c r="G617" s="1"/>
      <c r="H617" s="1"/>
      <c r="I617" s="1"/>
    </row>
    <row r="618" spans="6:9" ht="13.2">
      <c r="F618" s="1"/>
      <c r="G618" s="1"/>
      <c r="H618" s="1"/>
      <c r="I618" s="1"/>
    </row>
    <row r="619" spans="6:9" ht="13.2">
      <c r="F619" s="1"/>
      <c r="G619" s="1"/>
      <c r="H619" s="1"/>
      <c r="I619" s="1"/>
    </row>
    <row r="620" spans="6:9" ht="13.2">
      <c r="F620" s="1"/>
      <c r="G620" s="1"/>
      <c r="H620" s="1"/>
      <c r="I620" s="1"/>
    </row>
    <row r="621" spans="6:9" ht="13.2">
      <c r="F621" s="1"/>
      <c r="G621" s="1"/>
      <c r="H621" s="1"/>
      <c r="I621" s="1"/>
    </row>
    <row r="622" spans="6:9" ht="13.2">
      <c r="F622" s="1"/>
      <c r="G622" s="1"/>
      <c r="H622" s="1"/>
      <c r="I622" s="1"/>
    </row>
    <row r="623" spans="6:9" ht="13.2">
      <c r="F623" s="1"/>
      <c r="G623" s="1"/>
      <c r="H623" s="1"/>
      <c r="I623" s="1"/>
    </row>
    <row r="624" spans="6:9" ht="13.2">
      <c r="F624" s="1"/>
      <c r="G624" s="1"/>
      <c r="H624" s="1"/>
      <c r="I624" s="1"/>
    </row>
    <row r="625" spans="6:9" ht="13.2">
      <c r="F625" s="1"/>
      <c r="G625" s="1"/>
      <c r="H625" s="1"/>
      <c r="I625" s="1"/>
    </row>
    <row r="626" spans="6:9" ht="13.2">
      <c r="F626" s="1"/>
      <c r="G626" s="1"/>
      <c r="H626" s="1"/>
      <c r="I626" s="1"/>
    </row>
    <row r="627" spans="6:9" ht="13.2">
      <c r="F627" s="1"/>
      <c r="G627" s="1"/>
      <c r="H627" s="1"/>
      <c r="I627" s="1"/>
    </row>
    <row r="628" spans="6:9" ht="13.2">
      <c r="F628" s="1"/>
      <c r="G628" s="1"/>
      <c r="H628" s="1"/>
      <c r="I628" s="1"/>
    </row>
    <row r="629" spans="6:9" ht="13.2">
      <c r="F629" s="1"/>
      <c r="G629" s="1"/>
      <c r="H629" s="1"/>
      <c r="I629" s="1"/>
    </row>
    <row r="630" spans="6:9" ht="13.2">
      <c r="F630" s="1"/>
      <c r="G630" s="1"/>
      <c r="H630" s="1"/>
      <c r="I630" s="1"/>
    </row>
    <row r="631" spans="6:9" ht="13.2">
      <c r="F631" s="1"/>
      <c r="G631" s="1"/>
      <c r="H631" s="1"/>
      <c r="I631" s="1"/>
    </row>
    <row r="632" spans="6:9" ht="13.2">
      <c r="F632" s="1"/>
      <c r="G632" s="1"/>
      <c r="H632" s="1"/>
      <c r="I632" s="1"/>
    </row>
    <row r="633" spans="6:9" ht="13.2">
      <c r="F633" s="1"/>
      <c r="G633" s="1"/>
      <c r="H633" s="1"/>
      <c r="I633" s="1"/>
    </row>
    <row r="634" spans="6:9" ht="13.2">
      <c r="F634" s="1"/>
      <c r="G634" s="1"/>
      <c r="H634" s="1"/>
      <c r="I634" s="1"/>
    </row>
    <row r="635" spans="6:9" ht="13.2">
      <c r="F635" s="1"/>
      <c r="G635" s="1"/>
      <c r="H635" s="1"/>
      <c r="I635" s="1"/>
    </row>
    <row r="636" spans="6:9" ht="13.2">
      <c r="F636" s="1"/>
      <c r="G636" s="1"/>
      <c r="H636" s="1"/>
      <c r="I636" s="1"/>
    </row>
    <row r="637" spans="6:9" ht="13.2">
      <c r="F637" s="1"/>
      <c r="G637" s="1"/>
      <c r="H637" s="1"/>
      <c r="I637" s="1"/>
    </row>
    <row r="638" spans="6:9" ht="13.2">
      <c r="F638" s="1"/>
      <c r="G638" s="1"/>
      <c r="H638" s="1"/>
      <c r="I638" s="1"/>
    </row>
    <row r="639" spans="6:9" ht="13.2">
      <c r="F639" s="1"/>
      <c r="G639" s="1"/>
      <c r="H639" s="1"/>
      <c r="I639" s="1"/>
    </row>
    <row r="640" spans="6:9" ht="13.2">
      <c r="F640" s="1"/>
      <c r="G640" s="1"/>
      <c r="H640" s="1"/>
      <c r="I640" s="1"/>
    </row>
    <row r="641" spans="6:9" ht="13.2">
      <c r="F641" s="1"/>
      <c r="G641" s="1"/>
      <c r="H641" s="1"/>
      <c r="I641" s="1"/>
    </row>
    <row r="642" spans="6:9" ht="13.2">
      <c r="F642" s="1"/>
      <c r="G642" s="1"/>
      <c r="H642" s="1"/>
      <c r="I642" s="1"/>
    </row>
    <row r="643" spans="6:9" ht="13.2">
      <c r="F643" s="1"/>
      <c r="G643" s="1"/>
      <c r="H643" s="1"/>
      <c r="I643" s="1"/>
    </row>
    <row r="644" spans="6:9" ht="13.2">
      <c r="F644" s="1"/>
      <c r="G644" s="1"/>
      <c r="H644" s="1"/>
      <c r="I644" s="1"/>
    </row>
    <row r="645" spans="6:9" ht="13.2">
      <c r="F645" s="1"/>
      <c r="G645" s="1"/>
      <c r="H645" s="1"/>
      <c r="I645" s="1"/>
    </row>
    <row r="646" spans="6:9" ht="13.2">
      <c r="F646" s="1"/>
      <c r="G646" s="1"/>
      <c r="H646" s="1"/>
      <c r="I646" s="1"/>
    </row>
    <row r="647" spans="6:9" ht="13.2">
      <c r="F647" s="1"/>
      <c r="G647" s="1"/>
      <c r="H647" s="1"/>
      <c r="I647" s="1"/>
    </row>
    <row r="648" spans="6:9" ht="13.2">
      <c r="F648" s="1"/>
      <c r="G648" s="1"/>
      <c r="H648" s="1"/>
      <c r="I648" s="1"/>
    </row>
    <row r="649" spans="6:9" ht="13.2">
      <c r="F649" s="1"/>
      <c r="G649" s="1"/>
      <c r="H649" s="1"/>
      <c r="I649" s="1"/>
    </row>
    <row r="650" spans="6:9" ht="13.2">
      <c r="F650" s="1"/>
      <c r="G650" s="1"/>
      <c r="H650" s="1"/>
      <c r="I650" s="1"/>
    </row>
    <row r="651" spans="6:9" ht="13.2">
      <c r="F651" s="1"/>
      <c r="G651" s="1"/>
      <c r="H651" s="1"/>
      <c r="I651" s="1"/>
    </row>
    <row r="652" spans="6:9" ht="13.2">
      <c r="F652" s="1"/>
      <c r="G652" s="1"/>
      <c r="H652" s="1"/>
      <c r="I652" s="1"/>
    </row>
    <row r="653" spans="6:9" ht="13.2">
      <c r="F653" s="1"/>
      <c r="G653" s="1"/>
      <c r="H653" s="1"/>
      <c r="I653" s="1"/>
    </row>
    <row r="654" spans="6:9" ht="13.2">
      <c r="F654" s="1"/>
      <c r="G654" s="1"/>
      <c r="H654" s="1"/>
      <c r="I654" s="1"/>
    </row>
    <row r="655" spans="6:9" ht="13.2">
      <c r="F655" s="1"/>
      <c r="G655" s="1"/>
      <c r="H655" s="1"/>
      <c r="I655" s="1"/>
    </row>
    <row r="656" spans="6:9" ht="13.2">
      <c r="F656" s="1"/>
      <c r="G656" s="1"/>
      <c r="H656" s="1"/>
      <c r="I656" s="1"/>
    </row>
    <row r="657" spans="6:9" ht="13.2">
      <c r="F657" s="1"/>
      <c r="G657" s="1"/>
      <c r="H657" s="1"/>
      <c r="I657" s="1"/>
    </row>
    <row r="658" spans="6:9" ht="13.2">
      <c r="F658" s="1"/>
      <c r="G658" s="1"/>
      <c r="H658" s="1"/>
      <c r="I658" s="1"/>
    </row>
    <row r="659" spans="6:9" ht="13.2">
      <c r="F659" s="1"/>
      <c r="G659" s="1"/>
      <c r="H659" s="1"/>
      <c r="I659" s="1"/>
    </row>
    <row r="660" spans="6:9" ht="13.2">
      <c r="F660" s="1"/>
      <c r="G660" s="1"/>
      <c r="H660" s="1"/>
      <c r="I660" s="1"/>
    </row>
    <row r="661" spans="6:9" ht="13.2">
      <c r="F661" s="1"/>
      <c r="G661" s="1"/>
      <c r="H661" s="1"/>
      <c r="I661" s="1"/>
    </row>
    <row r="662" spans="6:9" ht="13.2">
      <c r="F662" s="1"/>
      <c r="G662" s="1"/>
      <c r="H662" s="1"/>
      <c r="I662" s="1"/>
    </row>
    <row r="663" spans="6:9" ht="13.2">
      <c r="F663" s="1"/>
      <c r="G663" s="1"/>
      <c r="H663" s="1"/>
      <c r="I663" s="1"/>
    </row>
    <row r="664" spans="6:9" ht="13.2">
      <c r="F664" s="1"/>
      <c r="G664" s="1"/>
      <c r="H664" s="1"/>
      <c r="I664" s="1"/>
    </row>
    <row r="665" spans="6:9" ht="13.2">
      <c r="F665" s="1"/>
      <c r="G665" s="1"/>
      <c r="H665" s="1"/>
      <c r="I665" s="1"/>
    </row>
    <row r="666" spans="6:9" ht="13.2">
      <c r="F666" s="1"/>
      <c r="G666" s="1"/>
      <c r="H666" s="1"/>
      <c r="I666" s="1"/>
    </row>
    <row r="667" spans="6:9" ht="13.2">
      <c r="F667" s="1"/>
      <c r="G667" s="1"/>
      <c r="H667" s="1"/>
      <c r="I667" s="1"/>
    </row>
    <row r="668" spans="6:9" ht="13.2">
      <c r="F668" s="1"/>
      <c r="G668" s="1"/>
      <c r="H668" s="1"/>
      <c r="I668" s="1"/>
    </row>
    <row r="669" spans="6:9" ht="13.2">
      <c r="F669" s="1"/>
      <c r="G669" s="1"/>
      <c r="H669" s="1"/>
      <c r="I669" s="1"/>
    </row>
    <row r="670" spans="6:9" ht="13.2">
      <c r="F670" s="1"/>
      <c r="G670" s="1"/>
      <c r="H670" s="1"/>
      <c r="I670" s="1"/>
    </row>
    <row r="671" spans="6:9" ht="13.2">
      <c r="F671" s="1"/>
      <c r="G671" s="1"/>
      <c r="H671" s="1"/>
      <c r="I671" s="1"/>
    </row>
    <row r="672" spans="6:9" ht="13.2">
      <c r="F672" s="1"/>
      <c r="G672" s="1"/>
      <c r="H672" s="1"/>
      <c r="I672" s="1"/>
    </row>
    <row r="673" spans="6:9" ht="13.2">
      <c r="F673" s="1"/>
      <c r="G673" s="1"/>
      <c r="H673" s="1"/>
      <c r="I673" s="1"/>
    </row>
    <row r="674" spans="6:9" ht="13.2">
      <c r="F674" s="1"/>
      <c r="G674" s="1"/>
      <c r="H674" s="1"/>
      <c r="I674" s="1"/>
    </row>
    <row r="675" spans="6:9" ht="13.2">
      <c r="F675" s="1"/>
      <c r="G675" s="1"/>
      <c r="H675" s="1"/>
      <c r="I675" s="1"/>
    </row>
    <row r="676" spans="6:9" ht="13.2">
      <c r="F676" s="1"/>
      <c r="G676" s="1"/>
      <c r="H676" s="1"/>
      <c r="I676" s="1"/>
    </row>
    <row r="677" spans="6:9" ht="13.2">
      <c r="F677" s="1"/>
      <c r="G677" s="1"/>
      <c r="H677" s="1"/>
      <c r="I677" s="1"/>
    </row>
    <row r="678" spans="6:9" ht="13.2">
      <c r="F678" s="1"/>
      <c r="G678" s="1"/>
      <c r="H678" s="1"/>
      <c r="I678" s="1"/>
    </row>
    <row r="679" spans="6:9" ht="13.2">
      <c r="F679" s="1"/>
      <c r="G679" s="1"/>
      <c r="H679" s="1"/>
      <c r="I679" s="1"/>
    </row>
    <row r="680" spans="6:9" ht="13.2">
      <c r="F680" s="1"/>
      <c r="G680" s="1"/>
      <c r="H680" s="1"/>
      <c r="I680" s="1"/>
    </row>
    <row r="681" spans="6:9" ht="13.2">
      <c r="F681" s="1"/>
      <c r="G681" s="1"/>
      <c r="H681" s="1"/>
      <c r="I681" s="1"/>
    </row>
    <row r="682" spans="6:9" ht="13.2">
      <c r="F682" s="1"/>
      <c r="G682" s="1"/>
      <c r="H682" s="1"/>
      <c r="I682" s="1"/>
    </row>
    <row r="683" spans="6:9" ht="13.2">
      <c r="F683" s="1"/>
      <c r="G683" s="1"/>
      <c r="H683" s="1"/>
      <c r="I683" s="1"/>
    </row>
    <row r="684" spans="6:9" ht="13.2">
      <c r="F684" s="1"/>
      <c r="G684" s="1"/>
      <c r="H684" s="1"/>
      <c r="I684" s="1"/>
    </row>
    <row r="685" spans="6:9" ht="13.2">
      <c r="F685" s="1"/>
      <c r="G685" s="1"/>
      <c r="H685" s="1"/>
      <c r="I685" s="1"/>
    </row>
    <row r="686" spans="6:9" ht="13.2">
      <c r="F686" s="1"/>
      <c r="G686" s="1"/>
      <c r="H686" s="1"/>
      <c r="I686" s="1"/>
    </row>
    <row r="687" spans="6:9" ht="13.2">
      <c r="F687" s="1"/>
      <c r="G687" s="1"/>
      <c r="H687" s="1"/>
      <c r="I687" s="1"/>
    </row>
    <row r="688" spans="6:9" ht="13.2">
      <c r="F688" s="1"/>
      <c r="G688" s="1"/>
      <c r="H688" s="1"/>
      <c r="I688" s="1"/>
    </row>
    <row r="689" spans="6:9" ht="13.2">
      <c r="F689" s="1"/>
      <c r="G689" s="1"/>
      <c r="H689" s="1"/>
      <c r="I689" s="1"/>
    </row>
    <row r="690" spans="6:9" ht="13.2">
      <c r="F690" s="1"/>
      <c r="G690" s="1"/>
      <c r="H690" s="1"/>
      <c r="I690" s="1"/>
    </row>
    <row r="691" spans="6:9" ht="13.2">
      <c r="F691" s="1"/>
      <c r="G691" s="1"/>
      <c r="H691" s="1"/>
      <c r="I691" s="1"/>
    </row>
    <row r="692" spans="6:9" ht="13.2">
      <c r="F692" s="1"/>
      <c r="G692" s="1"/>
      <c r="H692" s="1"/>
      <c r="I692" s="1"/>
    </row>
    <row r="693" spans="6:9" ht="13.2">
      <c r="F693" s="1"/>
      <c r="G693" s="1"/>
      <c r="H693" s="1"/>
      <c r="I693" s="1"/>
    </row>
    <row r="694" spans="6:9" ht="13.2">
      <c r="F694" s="1"/>
      <c r="G694" s="1"/>
      <c r="H694" s="1"/>
      <c r="I694" s="1"/>
    </row>
    <row r="695" spans="6:9" ht="13.2">
      <c r="F695" s="1"/>
      <c r="G695" s="1"/>
      <c r="H695" s="1"/>
      <c r="I695" s="1"/>
    </row>
    <row r="696" spans="6:9" ht="13.2">
      <c r="F696" s="1"/>
      <c r="G696" s="1"/>
      <c r="H696" s="1"/>
      <c r="I696" s="1"/>
    </row>
    <row r="697" spans="6:9" ht="13.2">
      <c r="F697" s="1"/>
      <c r="G697" s="1"/>
      <c r="H697" s="1"/>
      <c r="I697" s="1"/>
    </row>
    <row r="698" spans="6:9" ht="13.2">
      <c r="F698" s="1"/>
      <c r="G698" s="1"/>
      <c r="H698" s="1"/>
      <c r="I698" s="1"/>
    </row>
    <row r="699" spans="6:9" ht="13.2">
      <c r="F699" s="1"/>
      <c r="G699" s="1"/>
      <c r="H699" s="1"/>
      <c r="I699" s="1"/>
    </row>
    <row r="700" spans="6:9" ht="13.2">
      <c r="F700" s="1"/>
      <c r="G700" s="1"/>
      <c r="H700" s="1"/>
      <c r="I700" s="1"/>
    </row>
    <row r="701" spans="6:9" ht="13.2">
      <c r="F701" s="1"/>
      <c r="G701" s="1"/>
      <c r="H701" s="1"/>
      <c r="I701" s="1"/>
    </row>
    <row r="702" spans="6:9" ht="13.2">
      <c r="F702" s="1"/>
      <c r="G702" s="1"/>
      <c r="H702" s="1"/>
      <c r="I702" s="1"/>
    </row>
    <row r="703" spans="6:9" ht="13.2">
      <c r="F703" s="1"/>
      <c r="G703" s="1"/>
      <c r="H703" s="1"/>
      <c r="I703" s="1"/>
    </row>
    <row r="704" spans="6:9" ht="13.2">
      <c r="F704" s="1"/>
      <c r="G704" s="1"/>
      <c r="H704" s="1"/>
      <c r="I704" s="1"/>
    </row>
    <row r="705" spans="6:9" ht="13.2">
      <c r="F705" s="1"/>
      <c r="G705" s="1"/>
      <c r="H705" s="1"/>
      <c r="I705" s="1"/>
    </row>
    <row r="706" spans="6:9" ht="13.2">
      <c r="F706" s="1"/>
      <c r="G706" s="1"/>
      <c r="H706" s="1"/>
      <c r="I706" s="1"/>
    </row>
    <row r="707" spans="6:9" ht="13.2">
      <c r="F707" s="1"/>
      <c r="G707" s="1"/>
      <c r="H707" s="1"/>
      <c r="I707" s="1"/>
    </row>
    <row r="708" spans="6:9" ht="13.2">
      <c r="F708" s="1"/>
      <c r="G708" s="1"/>
      <c r="H708" s="1"/>
      <c r="I708" s="1"/>
    </row>
    <row r="709" spans="6:9" ht="13.2">
      <c r="F709" s="1"/>
      <c r="G709" s="1"/>
      <c r="H709" s="1"/>
      <c r="I709" s="1"/>
    </row>
    <row r="710" spans="6:9" ht="13.2">
      <c r="F710" s="1"/>
      <c r="G710" s="1"/>
      <c r="H710" s="1"/>
      <c r="I710" s="1"/>
    </row>
    <row r="711" spans="6:9" ht="13.2">
      <c r="F711" s="1"/>
      <c r="G711" s="1"/>
      <c r="H711" s="1"/>
      <c r="I711" s="1"/>
    </row>
    <row r="712" spans="6:9" ht="13.2">
      <c r="F712" s="1"/>
      <c r="G712" s="1"/>
      <c r="H712" s="1"/>
      <c r="I712" s="1"/>
    </row>
    <row r="713" spans="6:9" ht="13.2">
      <c r="F713" s="1"/>
      <c r="G713" s="1"/>
      <c r="H713" s="1"/>
      <c r="I713" s="1"/>
    </row>
    <row r="714" spans="6:9" ht="13.2">
      <c r="F714" s="1"/>
      <c r="G714" s="1"/>
      <c r="H714" s="1"/>
      <c r="I714" s="1"/>
    </row>
    <row r="715" spans="6:9" ht="13.2">
      <c r="F715" s="1"/>
      <c r="G715" s="1"/>
      <c r="H715" s="1"/>
      <c r="I715" s="1"/>
    </row>
    <row r="716" spans="6:9" ht="13.2">
      <c r="F716" s="1"/>
      <c r="G716" s="1"/>
      <c r="H716" s="1"/>
      <c r="I716" s="1"/>
    </row>
    <row r="717" spans="6:9" ht="13.2">
      <c r="F717" s="1"/>
      <c r="G717" s="1"/>
      <c r="H717" s="1"/>
      <c r="I717" s="1"/>
    </row>
    <row r="718" spans="6:9" ht="13.2">
      <c r="F718" s="1"/>
      <c r="G718" s="1"/>
      <c r="H718" s="1"/>
      <c r="I718" s="1"/>
    </row>
    <row r="719" spans="6:9" ht="13.2">
      <c r="F719" s="1"/>
      <c r="G719" s="1"/>
      <c r="H719" s="1"/>
      <c r="I719" s="1"/>
    </row>
    <row r="720" spans="6:9" ht="13.2">
      <c r="F720" s="1"/>
      <c r="G720" s="1"/>
      <c r="H720" s="1"/>
      <c r="I720" s="1"/>
    </row>
    <row r="721" spans="6:9" ht="13.2">
      <c r="F721" s="1"/>
      <c r="G721" s="1"/>
      <c r="H721" s="1"/>
      <c r="I721" s="1"/>
    </row>
    <row r="722" spans="6:9" ht="13.2">
      <c r="F722" s="1"/>
      <c r="G722" s="1"/>
      <c r="H722" s="1"/>
      <c r="I722" s="1"/>
    </row>
    <row r="723" spans="6:9" ht="13.2">
      <c r="F723" s="1"/>
      <c r="G723" s="1"/>
      <c r="H723" s="1"/>
      <c r="I723" s="1"/>
    </row>
    <row r="724" spans="6:9" ht="13.2">
      <c r="F724" s="1"/>
      <c r="G724" s="1"/>
      <c r="H724" s="1"/>
      <c r="I724" s="1"/>
    </row>
    <row r="725" spans="6:9" ht="13.2">
      <c r="F725" s="1"/>
      <c r="G725" s="1"/>
      <c r="H725" s="1"/>
      <c r="I725" s="1"/>
    </row>
    <row r="726" spans="6:9" ht="13.2">
      <c r="F726" s="1"/>
      <c r="G726" s="1"/>
      <c r="H726" s="1"/>
      <c r="I726" s="1"/>
    </row>
    <row r="727" spans="6:9" ht="13.2">
      <c r="F727" s="1"/>
      <c r="G727" s="1"/>
      <c r="H727" s="1"/>
      <c r="I727" s="1"/>
    </row>
    <row r="728" spans="6:9" ht="13.2">
      <c r="F728" s="1"/>
      <c r="G728" s="1"/>
      <c r="H728" s="1"/>
      <c r="I728" s="1"/>
    </row>
    <row r="729" spans="6:9" ht="13.2">
      <c r="F729" s="1"/>
      <c r="G729" s="1"/>
      <c r="H729" s="1"/>
      <c r="I729" s="1"/>
    </row>
    <row r="730" spans="6:9" ht="13.2">
      <c r="F730" s="1"/>
      <c r="G730" s="1"/>
      <c r="H730" s="1"/>
      <c r="I730" s="1"/>
    </row>
    <row r="731" spans="6:9" ht="13.2">
      <c r="F731" s="1"/>
      <c r="G731" s="1"/>
      <c r="H731" s="1"/>
      <c r="I731" s="1"/>
    </row>
    <row r="732" spans="6:9" ht="13.2">
      <c r="F732" s="1"/>
      <c r="G732" s="1"/>
      <c r="H732" s="1"/>
      <c r="I732" s="1"/>
    </row>
    <row r="733" spans="6:9" ht="13.2">
      <c r="F733" s="1"/>
      <c r="G733" s="1"/>
      <c r="H733" s="1"/>
      <c r="I733" s="1"/>
    </row>
    <row r="734" spans="6:9" ht="13.2">
      <c r="F734" s="1"/>
      <c r="G734" s="1"/>
      <c r="H734" s="1"/>
      <c r="I734" s="1"/>
    </row>
    <row r="735" spans="6:9" ht="13.2">
      <c r="F735" s="1"/>
      <c r="G735" s="1"/>
      <c r="H735" s="1"/>
      <c r="I735" s="1"/>
    </row>
    <row r="736" spans="6:9" ht="13.2">
      <c r="F736" s="1"/>
      <c r="G736" s="1"/>
      <c r="H736" s="1"/>
      <c r="I736" s="1"/>
    </row>
    <row r="737" spans="6:9" ht="13.2">
      <c r="F737" s="1"/>
      <c r="G737" s="1"/>
      <c r="H737" s="1"/>
      <c r="I737" s="1"/>
    </row>
    <row r="738" spans="6:9" ht="13.2">
      <c r="F738" s="1"/>
      <c r="G738" s="1"/>
      <c r="H738" s="1"/>
      <c r="I738" s="1"/>
    </row>
    <row r="739" spans="6:9" ht="13.2">
      <c r="F739" s="1"/>
      <c r="G739" s="1"/>
      <c r="H739" s="1"/>
      <c r="I739" s="1"/>
    </row>
    <row r="740" spans="6:9" ht="13.2">
      <c r="F740" s="1"/>
      <c r="G740" s="1"/>
      <c r="H740" s="1"/>
      <c r="I740" s="1"/>
    </row>
    <row r="741" spans="6:9" ht="13.2">
      <c r="F741" s="1"/>
      <c r="G741" s="1"/>
      <c r="H741" s="1"/>
      <c r="I741" s="1"/>
    </row>
    <row r="742" spans="6:9" ht="13.2">
      <c r="F742" s="1"/>
      <c r="G742" s="1"/>
      <c r="H742" s="1"/>
      <c r="I742" s="1"/>
    </row>
    <row r="743" spans="6:9" ht="13.2">
      <c r="F743" s="1"/>
      <c r="G743" s="1"/>
      <c r="H743" s="1"/>
      <c r="I743" s="1"/>
    </row>
    <row r="744" spans="6:9" ht="13.2">
      <c r="F744" s="1"/>
      <c r="G744" s="1"/>
      <c r="H744" s="1"/>
      <c r="I744" s="1"/>
    </row>
    <row r="745" spans="6:9" ht="13.2">
      <c r="F745" s="1"/>
      <c r="G745" s="1"/>
      <c r="H745" s="1"/>
      <c r="I745" s="1"/>
    </row>
    <row r="746" spans="6:9" ht="13.2">
      <c r="F746" s="1"/>
      <c r="G746" s="1"/>
      <c r="H746" s="1"/>
      <c r="I746" s="1"/>
    </row>
    <row r="747" spans="6:9" ht="13.2">
      <c r="F747" s="1"/>
      <c r="G747" s="1"/>
      <c r="H747" s="1"/>
      <c r="I747" s="1"/>
    </row>
    <row r="748" spans="6:9" ht="13.2">
      <c r="F748" s="1"/>
      <c r="G748" s="1"/>
      <c r="H748" s="1"/>
      <c r="I748" s="1"/>
    </row>
    <row r="749" spans="6:9" ht="13.2">
      <c r="F749" s="1"/>
      <c r="G749" s="1"/>
      <c r="H749" s="1"/>
      <c r="I749" s="1"/>
    </row>
    <row r="750" spans="6:9" ht="13.2">
      <c r="F750" s="1"/>
      <c r="G750" s="1"/>
      <c r="H750" s="1"/>
      <c r="I750" s="1"/>
    </row>
    <row r="751" spans="6:9" ht="13.2">
      <c r="F751" s="1"/>
      <c r="G751" s="1"/>
      <c r="H751" s="1"/>
      <c r="I751" s="1"/>
    </row>
    <row r="752" spans="6:9" ht="13.2">
      <c r="F752" s="1"/>
      <c r="G752" s="1"/>
      <c r="H752" s="1"/>
      <c r="I752" s="1"/>
    </row>
    <row r="753" spans="6:9" ht="13.2">
      <c r="F753" s="1"/>
      <c r="G753" s="1"/>
      <c r="H753" s="1"/>
      <c r="I753" s="1"/>
    </row>
    <row r="754" spans="6:9" ht="13.2">
      <c r="F754" s="1"/>
      <c r="G754" s="1"/>
      <c r="H754" s="1"/>
      <c r="I754" s="1"/>
    </row>
    <row r="755" spans="6:9" ht="13.2">
      <c r="F755" s="1"/>
      <c r="G755" s="1"/>
      <c r="H755" s="1"/>
      <c r="I755" s="1"/>
    </row>
    <row r="756" spans="6:9" ht="13.2">
      <c r="F756" s="1"/>
      <c r="G756" s="1"/>
      <c r="H756" s="1"/>
      <c r="I756" s="1"/>
    </row>
    <row r="757" spans="6:9" ht="13.2">
      <c r="F757" s="1"/>
      <c r="G757" s="1"/>
      <c r="H757" s="1"/>
      <c r="I757" s="1"/>
    </row>
    <row r="758" spans="6:9" ht="13.2">
      <c r="F758" s="1"/>
      <c r="G758" s="1"/>
      <c r="H758" s="1"/>
      <c r="I758" s="1"/>
    </row>
    <row r="759" spans="6:9" ht="13.2">
      <c r="F759" s="1"/>
      <c r="G759" s="1"/>
      <c r="H759" s="1"/>
      <c r="I759" s="1"/>
    </row>
    <row r="760" spans="6:9" ht="13.2">
      <c r="F760" s="1"/>
      <c r="G760" s="1"/>
      <c r="H760" s="1"/>
      <c r="I760" s="1"/>
    </row>
    <row r="761" spans="6:9" ht="13.2">
      <c r="F761" s="1"/>
      <c r="G761" s="1"/>
      <c r="H761" s="1"/>
      <c r="I761" s="1"/>
    </row>
    <row r="762" spans="6:9" ht="13.2">
      <c r="F762" s="1"/>
      <c r="G762" s="1"/>
      <c r="H762" s="1"/>
      <c r="I762" s="1"/>
    </row>
    <row r="763" spans="6:9" ht="13.2">
      <c r="F763" s="1"/>
      <c r="G763" s="1"/>
      <c r="H763" s="1"/>
      <c r="I763" s="1"/>
    </row>
    <row r="764" spans="6:9" ht="13.2">
      <c r="F764" s="1"/>
      <c r="G764" s="1"/>
      <c r="H764" s="1"/>
      <c r="I764" s="1"/>
    </row>
    <row r="765" spans="6:9" ht="13.2">
      <c r="F765" s="1"/>
      <c r="G765" s="1"/>
      <c r="H765" s="1"/>
      <c r="I765" s="1"/>
    </row>
    <row r="766" spans="6:9" ht="13.2">
      <c r="F766" s="1"/>
      <c r="G766" s="1"/>
      <c r="H766" s="1"/>
      <c r="I766" s="1"/>
    </row>
    <row r="767" spans="6:9" ht="13.2">
      <c r="F767" s="1"/>
      <c r="G767" s="1"/>
      <c r="H767" s="1"/>
      <c r="I767" s="1"/>
    </row>
    <row r="768" spans="6:9" ht="13.2">
      <c r="F768" s="1"/>
      <c r="G768" s="1"/>
      <c r="H768" s="1"/>
      <c r="I768" s="1"/>
    </row>
    <row r="769" spans="6:9" ht="13.2">
      <c r="F769" s="1"/>
      <c r="G769" s="1"/>
      <c r="H769" s="1"/>
      <c r="I769" s="1"/>
    </row>
    <row r="770" spans="6:9" ht="13.2">
      <c r="F770" s="1"/>
      <c r="G770" s="1"/>
      <c r="H770" s="1"/>
      <c r="I770" s="1"/>
    </row>
    <row r="771" spans="6:9" ht="13.2">
      <c r="F771" s="1"/>
      <c r="G771" s="1"/>
      <c r="H771" s="1"/>
      <c r="I771" s="1"/>
    </row>
    <row r="772" spans="6:9" ht="13.2">
      <c r="F772" s="1"/>
      <c r="G772" s="1"/>
      <c r="H772" s="1"/>
      <c r="I772" s="1"/>
    </row>
    <row r="773" spans="6:9" ht="13.2">
      <c r="F773" s="1"/>
      <c r="G773" s="1"/>
      <c r="H773" s="1"/>
      <c r="I773" s="1"/>
    </row>
    <row r="774" spans="6:9" ht="13.2">
      <c r="F774" s="1"/>
      <c r="G774" s="1"/>
      <c r="H774" s="1"/>
      <c r="I774" s="1"/>
    </row>
    <row r="775" spans="6:9" ht="13.2">
      <c r="F775" s="1"/>
      <c r="G775" s="1"/>
      <c r="H775" s="1"/>
      <c r="I775" s="1"/>
    </row>
    <row r="776" spans="6:9" ht="13.2">
      <c r="F776" s="1"/>
      <c r="G776" s="1"/>
      <c r="H776" s="1"/>
      <c r="I776" s="1"/>
    </row>
    <row r="777" spans="6:9" ht="13.2">
      <c r="F777" s="1"/>
      <c r="G777" s="1"/>
      <c r="H777" s="1"/>
      <c r="I777" s="1"/>
    </row>
    <row r="778" spans="6:9" ht="13.2">
      <c r="F778" s="1"/>
      <c r="G778" s="1"/>
      <c r="H778" s="1"/>
      <c r="I778" s="1"/>
    </row>
    <row r="779" spans="6:9" ht="13.2">
      <c r="F779" s="1"/>
      <c r="G779" s="1"/>
      <c r="H779" s="1"/>
      <c r="I779" s="1"/>
    </row>
    <row r="780" spans="6:9" ht="13.2">
      <c r="F780" s="1"/>
      <c r="G780" s="1"/>
      <c r="H780" s="1"/>
      <c r="I780" s="1"/>
    </row>
    <row r="781" spans="6:9" ht="13.2">
      <c r="F781" s="1"/>
      <c r="G781" s="1"/>
      <c r="H781" s="1"/>
      <c r="I781" s="1"/>
    </row>
    <row r="782" spans="6:9" ht="13.2">
      <c r="F782" s="1"/>
      <c r="G782" s="1"/>
      <c r="H782" s="1"/>
      <c r="I782" s="1"/>
    </row>
    <row r="783" spans="6:9" ht="13.2">
      <c r="F783" s="1"/>
      <c r="G783" s="1"/>
      <c r="H783" s="1"/>
      <c r="I783" s="1"/>
    </row>
    <row r="784" spans="6:9" ht="13.2">
      <c r="F784" s="1"/>
      <c r="G784" s="1"/>
      <c r="H784" s="1"/>
      <c r="I784" s="1"/>
    </row>
    <row r="785" spans="6:9" ht="13.2">
      <c r="F785" s="1"/>
      <c r="G785" s="1"/>
      <c r="H785" s="1"/>
      <c r="I785" s="1"/>
    </row>
    <row r="786" spans="6:9" ht="13.2">
      <c r="F786" s="1"/>
      <c r="G786" s="1"/>
      <c r="H786" s="1"/>
      <c r="I786" s="1"/>
    </row>
    <row r="787" spans="6:9" ht="13.2">
      <c r="F787" s="1"/>
      <c r="G787" s="1"/>
      <c r="H787" s="1"/>
      <c r="I787" s="1"/>
    </row>
    <row r="788" spans="6:9" ht="13.2">
      <c r="F788" s="1"/>
      <c r="G788" s="1"/>
      <c r="H788" s="1"/>
      <c r="I788" s="1"/>
    </row>
    <row r="789" spans="6:9" ht="13.2">
      <c r="F789" s="1"/>
      <c r="G789" s="1"/>
      <c r="H789" s="1"/>
      <c r="I789" s="1"/>
    </row>
    <row r="790" spans="6:9" ht="13.2">
      <c r="F790" s="1"/>
      <c r="G790" s="1"/>
      <c r="H790" s="1"/>
      <c r="I790" s="1"/>
    </row>
    <row r="791" spans="6:9" ht="13.2">
      <c r="F791" s="1"/>
      <c r="G791" s="1"/>
      <c r="H791" s="1"/>
      <c r="I791" s="1"/>
    </row>
    <row r="792" spans="6:9" ht="13.2">
      <c r="F792" s="1"/>
      <c r="G792" s="1"/>
      <c r="H792" s="1"/>
      <c r="I792" s="1"/>
    </row>
    <row r="793" spans="6:9" ht="13.2">
      <c r="F793" s="1"/>
      <c r="G793" s="1"/>
      <c r="H793" s="1"/>
      <c r="I793" s="1"/>
    </row>
    <row r="794" spans="6:9" ht="13.2">
      <c r="F794" s="1"/>
      <c r="G794" s="1"/>
      <c r="H794" s="1"/>
      <c r="I794" s="1"/>
    </row>
    <row r="795" spans="6:9" ht="13.2">
      <c r="F795" s="1"/>
      <c r="G795" s="1"/>
      <c r="H795" s="1"/>
      <c r="I795" s="1"/>
    </row>
    <row r="796" spans="6:9" ht="13.2">
      <c r="F796" s="1"/>
      <c r="G796" s="1"/>
      <c r="H796" s="1"/>
      <c r="I796" s="1"/>
    </row>
    <row r="797" spans="6:9" ht="13.2">
      <c r="F797" s="1"/>
      <c r="G797" s="1"/>
      <c r="H797" s="1"/>
      <c r="I797" s="1"/>
    </row>
    <row r="798" spans="6:9" ht="13.2">
      <c r="F798" s="1"/>
      <c r="G798" s="1"/>
      <c r="H798" s="1"/>
      <c r="I798" s="1"/>
    </row>
    <row r="799" spans="6:9" ht="13.2">
      <c r="F799" s="1"/>
      <c r="G799" s="1"/>
      <c r="H799" s="1"/>
      <c r="I799" s="1"/>
    </row>
    <row r="800" spans="6:9" ht="13.2">
      <c r="F800" s="1"/>
      <c r="G800" s="1"/>
      <c r="H800" s="1"/>
      <c r="I800" s="1"/>
    </row>
    <row r="801" spans="6:9" ht="13.2">
      <c r="F801" s="1"/>
      <c r="G801" s="1"/>
      <c r="H801" s="1"/>
      <c r="I801" s="1"/>
    </row>
    <row r="802" spans="6:9" ht="13.2">
      <c r="F802" s="1"/>
      <c r="G802" s="1"/>
      <c r="H802" s="1"/>
      <c r="I802" s="1"/>
    </row>
    <row r="803" spans="6:9" ht="13.2">
      <c r="F803" s="1"/>
      <c r="G803" s="1"/>
      <c r="H803" s="1"/>
      <c r="I803" s="1"/>
    </row>
    <row r="804" spans="6:9" ht="13.2">
      <c r="F804" s="1"/>
      <c r="G804" s="1"/>
      <c r="H804" s="1"/>
      <c r="I804" s="1"/>
    </row>
    <row r="805" spans="6:9" ht="13.2">
      <c r="F805" s="1"/>
      <c r="G805" s="1"/>
      <c r="H805" s="1"/>
      <c r="I805" s="1"/>
    </row>
    <row r="806" spans="6:9" ht="13.2">
      <c r="F806" s="1"/>
      <c r="G806" s="1"/>
      <c r="H806" s="1"/>
      <c r="I806" s="1"/>
    </row>
    <row r="807" spans="6:9" ht="13.2">
      <c r="F807" s="1"/>
      <c r="G807" s="1"/>
      <c r="H807" s="1"/>
      <c r="I807" s="1"/>
    </row>
    <row r="808" spans="6:9" ht="13.2">
      <c r="F808" s="1"/>
      <c r="G808" s="1"/>
      <c r="H808" s="1"/>
      <c r="I808" s="1"/>
    </row>
    <row r="809" spans="6:9" ht="13.2">
      <c r="F809" s="1"/>
      <c r="G809" s="1"/>
      <c r="H809" s="1"/>
      <c r="I809" s="1"/>
    </row>
    <row r="810" spans="6:9" ht="13.2">
      <c r="F810" s="1"/>
      <c r="G810" s="1"/>
      <c r="H810" s="1"/>
      <c r="I810" s="1"/>
    </row>
    <row r="811" spans="6:9" ht="13.2">
      <c r="F811" s="1"/>
      <c r="G811" s="1"/>
      <c r="H811" s="1"/>
      <c r="I811" s="1"/>
    </row>
    <row r="812" spans="6:9" ht="13.2">
      <c r="F812" s="1"/>
      <c r="G812" s="1"/>
      <c r="H812" s="1"/>
      <c r="I812" s="1"/>
    </row>
    <row r="813" spans="6:9" ht="13.2">
      <c r="F813" s="1"/>
      <c r="G813" s="1"/>
      <c r="H813" s="1"/>
      <c r="I813" s="1"/>
    </row>
    <row r="814" spans="6:9" ht="13.2">
      <c r="F814" s="1"/>
      <c r="G814" s="1"/>
      <c r="H814" s="1"/>
      <c r="I814" s="1"/>
    </row>
    <row r="815" spans="6:9" ht="13.2">
      <c r="F815" s="1"/>
      <c r="G815" s="1"/>
      <c r="H815" s="1"/>
      <c r="I815" s="1"/>
    </row>
    <row r="816" spans="6:9" ht="13.2">
      <c r="F816" s="1"/>
      <c r="G816" s="1"/>
      <c r="H816" s="1"/>
      <c r="I816" s="1"/>
    </row>
    <row r="817" spans="6:9" ht="13.2">
      <c r="F817" s="1"/>
      <c r="G817" s="1"/>
      <c r="H817" s="1"/>
      <c r="I817" s="1"/>
    </row>
    <row r="818" spans="6:9" ht="13.2">
      <c r="F818" s="1"/>
      <c r="G818" s="1"/>
      <c r="H818" s="1"/>
      <c r="I818" s="1"/>
    </row>
    <row r="819" spans="6:9" ht="13.2">
      <c r="F819" s="1"/>
      <c r="G819" s="1"/>
      <c r="H819" s="1"/>
      <c r="I819" s="1"/>
    </row>
    <row r="820" spans="6:9" ht="13.2">
      <c r="F820" s="1"/>
      <c r="G820" s="1"/>
      <c r="H820" s="1"/>
      <c r="I820" s="1"/>
    </row>
    <row r="821" spans="6:9" ht="13.2">
      <c r="F821" s="1"/>
      <c r="G821" s="1"/>
      <c r="H821" s="1"/>
      <c r="I821" s="1"/>
    </row>
    <row r="822" spans="6:9" ht="13.2">
      <c r="F822" s="1"/>
      <c r="G822" s="1"/>
      <c r="H822" s="1"/>
      <c r="I822" s="1"/>
    </row>
    <row r="823" spans="6:9" ht="13.2">
      <c r="F823" s="1"/>
      <c r="G823" s="1"/>
      <c r="H823" s="1"/>
      <c r="I823" s="1"/>
    </row>
    <row r="824" spans="6:9" ht="13.2">
      <c r="F824" s="1"/>
      <c r="G824" s="1"/>
      <c r="H824" s="1"/>
      <c r="I824" s="1"/>
    </row>
    <row r="825" spans="6:9" ht="13.2">
      <c r="F825" s="1"/>
      <c r="G825" s="1"/>
      <c r="H825" s="1"/>
      <c r="I825" s="1"/>
    </row>
    <row r="826" spans="6:9" ht="13.2">
      <c r="F826" s="1"/>
      <c r="G826" s="1"/>
      <c r="H826" s="1"/>
      <c r="I826" s="1"/>
    </row>
    <row r="827" spans="6:9" ht="13.2">
      <c r="F827" s="1"/>
      <c r="G827" s="1"/>
      <c r="H827" s="1"/>
      <c r="I827" s="1"/>
    </row>
    <row r="828" spans="6:9" ht="13.2">
      <c r="F828" s="1"/>
      <c r="G828" s="1"/>
      <c r="H828" s="1"/>
      <c r="I828" s="1"/>
    </row>
    <row r="829" spans="6:9" ht="13.2">
      <c r="F829" s="1"/>
      <c r="G829" s="1"/>
      <c r="H829" s="1"/>
      <c r="I829" s="1"/>
    </row>
    <row r="830" spans="6:9" ht="13.2">
      <c r="F830" s="1"/>
      <c r="G830" s="1"/>
      <c r="H830" s="1"/>
      <c r="I830" s="1"/>
    </row>
    <row r="831" spans="6:9" ht="13.2">
      <c r="F831" s="1"/>
      <c r="G831" s="1"/>
      <c r="H831" s="1"/>
      <c r="I831" s="1"/>
    </row>
    <row r="832" spans="6:9" ht="13.2">
      <c r="F832" s="1"/>
      <c r="G832" s="1"/>
      <c r="H832" s="1"/>
      <c r="I832" s="1"/>
    </row>
    <row r="833" spans="6:9" ht="13.2">
      <c r="F833" s="1"/>
      <c r="G833" s="1"/>
      <c r="H833" s="1"/>
      <c r="I833" s="1"/>
    </row>
    <row r="834" spans="6:9" ht="13.2">
      <c r="F834" s="1"/>
      <c r="G834" s="1"/>
      <c r="H834" s="1"/>
      <c r="I834" s="1"/>
    </row>
    <row r="835" spans="6:9" ht="13.2">
      <c r="F835" s="1"/>
      <c r="G835" s="1"/>
      <c r="H835" s="1"/>
      <c r="I835" s="1"/>
    </row>
    <row r="836" spans="6:9" ht="13.2">
      <c r="F836" s="1"/>
      <c r="G836" s="1"/>
      <c r="H836" s="1"/>
      <c r="I836" s="1"/>
    </row>
    <row r="837" spans="6:9" ht="13.2">
      <c r="F837" s="1"/>
      <c r="G837" s="1"/>
      <c r="H837" s="1"/>
      <c r="I837" s="1"/>
    </row>
    <row r="838" spans="6:9" ht="13.2">
      <c r="F838" s="1"/>
      <c r="G838" s="1"/>
      <c r="H838" s="1"/>
      <c r="I838" s="1"/>
    </row>
    <row r="839" spans="6:9" ht="13.2">
      <c r="F839" s="1"/>
      <c r="G839" s="1"/>
      <c r="H839" s="1"/>
      <c r="I839" s="1"/>
    </row>
    <row r="840" spans="6:9" ht="13.2">
      <c r="F840" s="1"/>
      <c r="G840" s="1"/>
      <c r="H840" s="1"/>
      <c r="I840" s="1"/>
    </row>
    <row r="841" spans="6:9" ht="13.2">
      <c r="F841" s="1"/>
      <c r="G841" s="1"/>
      <c r="H841" s="1"/>
      <c r="I841" s="1"/>
    </row>
    <row r="842" spans="6:9" ht="13.2">
      <c r="F842" s="1"/>
      <c r="G842" s="1"/>
      <c r="H842" s="1"/>
      <c r="I842" s="1"/>
    </row>
    <row r="843" spans="6:9" ht="13.2">
      <c r="F843" s="1"/>
      <c r="G843" s="1"/>
      <c r="H843" s="1"/>
      <c r="I843" s="1"/>
    </row>
    <row r="844" spans="6:9" ht="13.2">
      <c r="F844" s="1"/>
      <c r="G844" s="1"/>
      <c r="H844" s="1"/>
      <c r="I844" s="1"/>
    </row>
    <row r="845" spans="6:9" ht="13.2">
      <c r="F845" s="1"/>
      <c r="G845" s="1"/>
      <c r="H845" s="1"/>
      <c r="I845" s="1"/>
    </row>
    <row r="846" spans="6:9" ht="13.2">
      <c r="F846" s="1"/>
      <c r="G846" s="1"/>
      <c r="H846" s="1"/>
      <c r="I846" s="1"/>
    </row>
    <row r="847" spans="6:9" ht="13.2">
      <c r="F847" s="1"/>
      <c r="G847" s="1"/>
      <c r="H847" s="1"/>
      <c r="I847" s="1"/>
    </row>
    <row r="848" spans="6:9" ht="13.2">
      <c r="F848" s="1"/>
      <c r="G848" s="1"/>
      <c r="H848" s="1"/>
      <c r="I848" s="1"/>
    </row>
    <row r="849" spans="6:9" ht="13.2">
      <c r="F849" s="1"/>
      <c r="G849" s="1"/>
      <c r="H849" s="1"/>
      <c r="I849" s="1"/>
    </row>
    <row r="850" spans="6:9" ht="13.2">
      <c r="F850" s="1"/>
      <c r="G850" s="1"/>
      <c r="H850" s="1"/>
      <c r="I850" s="1"/>
    </row>
    <row r="851" spans="6:9" ht="13.2">
      <c r="F851" s="1"/>
      <c r="G851" s="1"/>
      <c r="H851" s="1"/>
      <c r="I851" s="1"/>
    </row>
    <row r="852" spans="6:9" ht="13.2">
      <c r="F852" s="1"/>
      <c r="G852" s="1"/>
      <c r="H852" s="1"/>
      <c r="I852" s="1"/>
    </row>
    <row r="853" spans="6:9" ht="13.2">
      <c r="F853" s="1"/>
      <c r="G853" s="1"/>
      <c r="H853" s="1"/>
      <c r="I853" s="1"/>
    </row>
    <row r="854" spans="6:9" ht="13.2">
      <c r="F854" s="1"/>
      <c r="G854" s="1"/>
      <c r="H854" s="1"/>
      <c r="I854" s="1"/>
    </row>
    <row r="855" spans="6:9" ht="13.2">
      <c r="F855" s="1"/>
      <c r="G855" s="1"/>
      <c r="H855" s="1"/>
      <c r="I855" s="1"/>
    </row>
    <row r="856" spans="6:9" ht="13.2">
      <c r="F856" s="1"/>
      <c r="G856" s="1"/>
      <c r="H856" s="1"/>
      <c r="I856" s="1"/>
    </row>
    <row r="857" spans="6:9" ht="13.2">
      <c r="F857" s="1"/>
      <c r="G857" s="1"/>
      <c r="H857" s="1"/>
      <c r="I857" s="1"/>
    </row>
    <row r="858" spans="6:9" ht="13.2">
      <c r="F858" s="1"/>
      <c r="G858" s="1"/>
      <c r="H858" s="1"/>
      <c r="I858" s="1"/>
    </row>
    <row r="859" spans="6:9" ht="13.2">
      <c r="F859" s="1"/>
      <c r="G859" s="1"/>
      <c r="H859" s="1"/>
      <c r="I859" s="1"/>
    </row>
    <row r="860" spans="6:9" ht="13.2">
      <c r="F860" s="1"/>
      <c r="G860" s="1"/>
      <c r="H860" s="1"/>
      <c r="I860" s="1"/>
    </row>
    <row r="861" spans="6:9" ht="13.2">
      <c r="F861" s="1"/>
      <c r="G861" s="1"/>
      <c r="H861" s="1"/>
      <c r="I861" s="1"/>
    </row>
    <row r="862" spans="6:9" ht="13.2">
      <c r="F862" s="1"/>
      <c r="G862" s="1"/>
      <c r="H862" s="1"/>
      <c r="I862" s="1"/>
    </row>
    <row r="863" spans="6:9" ht="13.2">
      <c r="F863" s="1"/>
      <c r="G863" s="1"/>
      <c r="H863" s="1"/>
      <c r="I863" s="1"/>
    </row>
    <row r="864" spans="6:9" ht="13.2">
      <c r="F864" s="1"/>
      <c r="G864" s="1"/>
      <c r="H864" s="1"/>
      <c r="I864" s="1"/>
    </row>
    <row r="865" spans="6:9" ht="13.2">
      <c r="F865" s="1"/>
      <c r="G865" s="1"/>
      <c r="H865" s="1"/>
      <c r="I865" s="1"/>
    </row>
    <row r="866" spans="6:9" ht="13.2">
      <c r="F866" s="1"/>
      <c r="G866" s="1"/>
      <c r="H866" s="1"/>
      <c r="I866" s="1"/>
    </row>
    <row r="867" spans="6:9" ht="13.2">
      <c r="F867" s="1"/>
      <c r="G867" s="1"/>
      <c r="H867" s="1"/>
      <c r="I867" s="1"/>
    </row>
    <row r="868" spans="6:9" ht="13.2">
      <c r="F868" s="1"/>
      <c r="G868" s="1"/>
      <c r="H868" s="1"/>
      <c r="I868" s="1"/>
    </row>
    <row r="869" spans="6:9" ht="13.2">
      <c r="F869" s="1"/>
      <c r="G869" s="1"/>
      <c r="H869" s="1"/>
      <c r="I869" s="1"/>
    </row>
    <row r="870" spans="6:9" ht="13.2">
      <c r="F870" s="1"/>
      <c r="G870" s="1"/>
      <c r="H870" s="1"/>
      <c r="I870" s="1"/>
    </row>
    <row r="871" spans="6:9" ht="13.2">
      <c r="F871" s="1"/>
      <c r="G871" s="1"/>
      <c r="H871" s="1"/>
      <c r="I871" s="1"/>
    </row>
    <row r="872" spans="6:9" ht="13.2">
      <c r="F872" s="1"/>
      <c r="G872" s="1"/>
      <c r="H872" s="1"/>
      <c r="I872" s="1"/>
    </row>
    <row r="873" spans="6:9" ht="13.2">
      <c r="F873" s="1"/>
      <c r="G873" s="1"/>
      <c r="H873" s="1"/>
      <c r="I873" s="1"/>
    </row>
    <row r="874" spans="6:9" ht="13.2">
      <c r="F874" s="1"/>
      <c r="G874" s="1"/>
      <c r="H874" s="1"/>
      <c r="I874" s="1"/>
    </row>
    <row r="875" spans="6:9" ht="13.2">
      <c r="F875" s="1"/>
      <c r="G875" s="1"/>
      <c r="H875" s="1"/>
      <c r="I875" s="1"/>
    </row>
    <row r="876" spans="6:9" ht="13.2">
      <c r="F876" s="1"/>
      <c r="G876" s="1"/>
      <c r="H876" s="1"/>
      <c r="I876" s="1"/>
    </row>
    <row r="877" spans="6:9" ht="13.2">
      <c r="F877" s="1"/>
      <c r="G877" s="1"/>
      <c r="H877" s="1"/>
      <c r="I877" s="1"/>
    </row>
    <row r="878" spans="6:9" ht="13.2">
      <c r="F878" s="1"/>
      <c r="G878" s="1"/>
      <c r="H878" s="1"/>
      <c r="I878" s="1"/>
    </row>
    <row r="879" spans="6:9" ht="13.2">
      <c r="F879" s="1"/>
      <c r="G879" s="1"/>
      <c r="H879" s="1"/>
      <c r="I879" s="1"/>
    </row>
    <row r="880" spans="6:9" ht="13.2">
      <c r="F880" s="1"/>
      <c r="G880" s="1"/>
      <c r="H880" s="1"/>
      <c r="I880" s="1"/>
    </row>
    <row r="881" spans="6:9" ht="13.2">
      <c r="F881" s="1"/>
      <c r="G881" s="1"/>
      <c r="H881" s="1"/>
      <c r="I881" s="1"/>
    </row>
    <row r="882" spans="6:9" ht="13.2">
      <c r="F882" s="1"/>
      <c r="G882" s="1"/>
      <c r="H882" s="1"/>
      <c r="I882" s="1"/>
    </row>
    <row r="883" spans="6:9" ht="13.2">
      <c r="F883" s="1"/>
      <c r="G883" s="1"/>
      <c r="H883" s="1"/>
      <c r="I883" s="1"/>
    </row>
    <row r="884" spans="6:9" ht="13.2">
      <c r="F884" s="1"/>
      <c r="G884" s="1"/>
      <c r="H884" s="1"/>
      <c r="I884" s="1"/>
    </row>
    <row r="885" spans="6:9" ht="13.2">
      <c r="F885" s="1"/>
      <c r="G885" s="1"/>
      <c r="H885" s="1"/>
      <c r="I885" s="1"/>
    </row>
    <row r="886" spans="6:9" ht="13.2">
      <c r="F886" s="1"/>
      <c r="G886" s="1"/>
      <c r="H886" s="1"/>
      <c r="I886" s="1"/>
    </row>
    <row r="887" spans="6:9" ht="13.2">
      <c r="F887" s="1"/>
      <c r="G887" s="1"/>
      <c r="H887" s="1"/>
      <c r="I887" s="1"/>
    </row>
    <row r="888" spans="6:9" ht="13.2">
      <c r="F888" s="1"/>
      <c r="G888" s="1"/>
      <c r="H888" s="1"/>
      <c r="I888" s="1"/>
    </row>
    <row r="889" spans="6:9" ht="13.2">
      <c r="F889" s="1"/>
      <c r="G889" s="1"/>
      <c r="H889" s="1"/>
      <c r="I889" s="1"/>
    </row>
    <row r="890" spans="6:9" ht="13.2">
      <c r="F890" s="1"/>
      <c r="G890" s="1"/>
      <c r="H890" s="1"/>
      <c r="I890" s="1"/>
    </row>
    <row r="891" spans="6:9" ht="13.2">
      <c r="F891" s="1"/>
      <c r="G891" s="1"/>
      <c r="H891" s="1"/>
      <c r="I891" s="1"/>
    </row>
    <row r="892" spans="6:9" ht="13.2">
      <c r="F892" s="1"/>
      <c r="G892" s="1"/>
      <c r="H892" s="1"/>
      <c r="I892" s="1"/>
    </row>
    <row r="893" spans="6:9" ht="13.2">
      <c r="F893" s="1"/>
      <c r="G893" s="1"/>
      <c r="H893" s="1"/>
      <c r="I893" s="1"/>
    </row>
    <row r="894" spans="6:9" ht="13.2">
      <c r="F894" s="1"/>
      <c r="G894" s="1"/>
      <c r="H894" s="1"/>
      <c r="I894" s="1"/>
    </row>
    <row r="895" spans="6:9" ht="13.2">
      <c r="F895" s="1"/>
      <c r="G895" s="1"/>
      <c r="H895" s="1"/>
      <c r="I895" s="1"/>
    </row>
    <row r="896" spans="6:9" ht="13.2">
      <c r="F896" s="1"/>
      <c r="G896" s="1"/>
      <c r="H896" s="1"/>
      <c r="I896" s="1"/>
    </row>
    <row r="897" spans="6:9" ht="13.2">
      <c r="F897" s="1"/>
      <c r="G897" s="1"/>
      <c r="H897" s="1"/>
      <c r="I897" s="1"/>
    </row>
    <row r="898" spans="6:9" ht="13.2">
      <c r="F898" s="1"/>
      <c r="G898" s="1"/>
      <c r="H898" s="1"/>
      <c r="I898" s="1"/>
    </row>
    <row r="899" spans="6:9" ht="13.2">
      <c r="F899" s="1"/>
      <c r="G899" s="1"/>
      <c r="H899" s="1"/>
      <c r="I899" s="1"/>
    </row>
    <row r="900" spans="6:9" ht="13.2">
      <c r="F900" s="1"/>
      <c r="G900" s="1"/>
      <c r="H900" s="1"/>
      <c r="I900" s="1"/>
    </row>
    <row r="901" spans="6:9" ht="13.2">
      <c r="F901" s="1"/>
      <c r="G901" s="1"/>
      <c r="H901" s="1"/>
      <c r="I901" s="1"/>
    </row>
    <row r="902" spans="6:9" ht="13.2">
      <c r="F902" s="1"/>
      <c r="G902" s="1"/>
      <c r="H902" s="1"/>
      <c r="I902" s="1"/>
    </row>
    <row r="903" spans="6:9" ht="13.2">
      <c r="F903" s="1"/>
      <c r="G903" s="1"/>
      <c r="H903" s="1"/>
      <c r="I903" s="1"/>
    </row>
    <row r="904" spans="6:9" ht="13.2">
      <c r="F904" s="1"/>
      <c r="G904" s="1"/>
      <c r="H904" s="1"/>
      <c r="I904" s="1"/>
    </row>
    <row r="905" spans="6:9" ht="13.2">
      <c r="F905" s="1"/>
      <c r="G905" s="1"/>
      <c r="H905" s="1"/>
      <c r="I905" s="1"/>
    </row>
    <row r="906" spans="6:9" ht="13.2">
      <c r="F906" s="1"/>
      <c r="G906" s="1"/>
      <c r="H906" s="1"/>
      <c r="I906" s="1"/>
    </row>
    <row r="907" spans="6:9" ht="13.2">
      <c r="F907" s="1"/>
      <c r="G907" s="1"/>
      <c r="H907" s="1"/>
      <c r="I907" s="1"/>
    </row>
    <row r="908" spans="6:9" ht="13.2">
      <c r="F908" s="1"/>
      <c r="G908" s="1"/>
      <c r="H908" s="1"/>
      <c r="I908" s="1"/>
    </row>
    <row r="909" spans="6:9" ht="13.2">
      <c r="F909" s="1"/>
      <c r="G909" s="1"/>
      <c r="H909" s="1"/>
      <c r="I909" s="1"/>
    </row>
    <row r="910" spans="6:9" ht="13.2">
      <c r="F910" s="1"/>
      <c r="G910" s="1"/>
      <c r="H910" s="1"/>
      <c r="I910" s="1"/>
    </row>
    <row r="911" spans="6:9" ht="13.2">
      <c r="F911" s="1"/>
      <c r="G911" s="1"/>
      <c r="H911" s="1"/>
      <c r="I911" s="1"/>
    </row>
    <row r="912" spans="6:9" ht="13.2">
      <c r="F912" s="1"/>
      <c r="G912" s="1"/>
      <c r="H912" s="1"/>
      <c r="I912" s="1"/>
    </row>
    <row r="913" spans="6:9" ht="13.2">
      <c r="F913" s="1"/>
      <c r="G913" s="1"/>
      <c r="H913" s="1"/>
      <c r="I913" s="1"/>
    </row>
    <row r="914" spans="6:9" ht="13.2">
      <c r="F914" s="1"/>
      <c r="G914" s="1"/>
      <c r="H914" s="1"/>
      <c r="I914" s="1"/>
    </row>
    <row r="915" spans="6:9" ht="13.2">
      <c r="F915" s="1"/>
      <c r="G915" s="1"/>
      <c r="H915" s="1"/>
      <c r="I915" s="1"/>
    </row>
    <row r="916" spans="6:9" ht="13.2">
      <c r="F916" s="1"/>
      <c r="G916" s="1"/>
      <c r="H916" s="1"/>
      <c r="I916" s="1"/>
    </row>
    <row r="917" spans="6:9" ht="13.2">
      <c r="F917" s="1"/>
      <c r="G917" s="1"/>
      <c r="H917" s="1"/>
      <c r="I917" s="1"/>
    </row>
    <row r="918" spans="6:9" ht="13.2">
      <c r="F918" s="1"/>
      <c r="G918" s="1"/>
      <c r="H918" s="1"/>
      <c r="I918" s="1"/>
    </row>
    <row r="919" spans="6:9" ht="13.2">
      <c r="F919" s="1"/>
      <c r="G919" s="1"/>
      <c r="H919" s="1"/>
      <c r="I919" s="1"/>
    </row>
    <row r="920" spans="6:9" ht="13.2">
      <c r="F920" s="1"/>
      <c r="G920" s="1"/>
      <c r="H920" s="1"/>
      <c r="I920" s="1"/>
    </row>
    <row r="921" spans="6:9" ht="13.2">
      <c r="F921" s="1"/>
      <c r="G921" s="1"/>
      <c r="H921" s="1"/>
      <c r="I921" s="1"/>
    </row>
    <row r="922" spans="6:9" ht="13.2">
      <c r="F922" s="1"/>
      <c r="G922" s="1"/>
      <c r="H922" s="1"/>
      <c r="I922" s="1"/>
    </row>
    <row r="923" spans="6:9" ht="13.2">
      <c r="F923" s="1"/>
      <c r="G923" s="1"/>
      <c r="H923" s="1"/>
      <c r="I923" s="1"/>
    </row>
    <row r="924" spans="6:9" ht="13.2">
      <c r="F924" s="1"/>
      <c r="G924" s="1"/>
      <c r="H924" s="1"/>
      <c r="I924" s="1"/>
    </row>
    <row r="925" spans="6:9" ht="13.2">
      <c r="F925" s="1"/>
      <c r="G925" s="1"/>
      <c r="H925" s="1"/>
      <c r="I925" s="1"/>
    </row>
    <row r="926" spans="6:9" ht="13.2">
      <c r="F926" s="1"/>
      <c r="G926" s="1"/>
      <c r="H926" s="1"/>
      <c r="I926" s="1"/>
    </row>
    <row r="927" spans="6:9" ht="13.2">
      <c r="F927" s="1"/>
      <c r="G927" s="1"/>
      <c r="H927" s="1"/>
      <c r="I927" s="1"/>
    </row>
    <row r="928" spans="6:9" ht="13.2">
      <c r="F928" s="1"/>
      <c r="G928" s="1"/>
      <c r="H928" s="1"/>
      <c r="I928" s="1"/>
    </row>
    <row r="929" spans="6:9" ht="13.2">
      <c r="F929" s="1"/>
      <c r="G929" s="1"/>
      <c r="H929" s="1"/>
      <c r="I929" s="1"/>
    </row>
    <row r="930" spans="6:9" ht="13.2">
      <c r="F930" s="1"/>
      <c r="G930" s="1"/>
      <c r="H930" s="1"/>
      <c r="I930" s="1"/>
    </row>
    <row r="931" spans="6:9" ht="13.2">
      <c r="F931" s="1"/>
      <c r="G931" s="1"/>
      <c r="H931" s="1"/>
      <c r="I931" s="1"/>
    </row>
    <row r="932" spans="6:9" ht="13.2">
      <c r="F932" s="1"/>
      <c r="G932" s="1"/>
      <c r="H932" s="1"/>
      <c r="I932" s="1"/>
    </row>
    <row r="933" spans="6:9" ht="13.2">
      <c r="F933" s="1"/>
      <c r="G933" s="1"/>
      <c r="H933" s="1"/>
      <c r="I933" s="1"/>
    </row>
    <row r="934" spans="6:9" ht="13.2">
      <c r="F934" s="1"/>
      <c r="G934" s="1"/>
      <c r="H934" s="1"/>
      <c r="I934" s="1"/>
    </row>
    <row r="935" spans="6:9" ht="13.2">
      <c r="F935" s="1"/>
      <c r="G935" s="1"/>
      <c r="H935" s="1"/>
      <c r="I935" s="1"/>
    </row>
    <row r="936" spans="6:9" ht="13.2">
      <c r="F936" s="1"/>
      <c r="G936" s="1"/>
      <c r="H936" s="1"/>
      <c r="I936" s="1"/>
    </row>
    <row r="937" spans="6:9" ht="13.2">
      <c r="F937" s="1"/>
      <c r="G937" s="1"/>
      <c r="H937" s="1"/>
      <c r="I937" s="1"/>
    </row>
    <row r="938" spans="6:9" ht="13.2">
      <c r="F938" s="1"/>
      <c r="G938" s="1"/>
      <c r="H938" s="1"/>
      <c r="I938" s="1"/>
    </row>
    <row r="939" spans="6:9" ht="13.2">
      <c r="F939" s="1"/>
      <c r="G939" s="1"/>
      <c r="H939" s="1"/>
      <c r="I939" s="1"/>
    </row>
    <row r="940" spans="6:9" ht="13.2">
      <c r="F940" s="1"/>
      <c r="G940" s="1"/>
      <c r="H940" s="1"/>
      <c r="I940" s="1"/>
    </row>
    <row r="941" spans="6:9" ht="13.2">
      <c r="F941" s="1"/>
      <c r="G941" s="1"/>
      <c r="H941" s="1"/>
      <c r="I941" s="1"/>
    </row>
    <row r="942" spans="6:9" ht="13.2">
      <c r="F942" s="1"/>
      <c r="G942" s="1"/>
      <c r="H942" s="1"/>
      <c r="I942" s="1"/>
    </row>
    <row r="943" spans="6:9" ht="13.2">
      <c r="F943" s="1"/>
      <c r="G943" s="1"/>
      <c r="H943" s="1"/>
      <c r="I943" s="1"/>
    </row>
    <row r="944" spans="6:9" ht="13.2">
      <c r="F944" s="1"/>
      <c r="G944" s="1"/>
      <c r="H944" s="1"/>
      <c r="I944" s="1"/>
    </row>
    <row r="945" spans="6:9" ht="13.2">
      <c r="F945" s="1"/>
      <c r="G945" s="1"/>
      <c r="H945" s="1"/>
      <c r="I945" s="1"/>
    </row>
    <row r="946" spans="6:9" ht="13.2">
      <c r="F946" s="1"/>
      <c r="G946" s="1"/>
      <c r="H946" s="1"/>
      <c r="I946" s="1"/>
    </row>
    <row r="947" spans="6:9" ht="13.2">
      <c r="F947" s="1"/>
      <c r="G947" s="1"/>
      <c r="H947" s="1"/>
      <c r="I947" s="1"/>
    </row>
    <row r="948" spans="6:9" ht="13.2">
      <c r="F948" s="1"/>
      <c r="G948" s="1"/>
      <c r="H948" s="1"/>
      <c r="I948" s="1"/>
    </row>
    <row r="949" spans="6:9" ht="13.2">
      <c r="F949" s="1"/>
      <c r="G949" s="1"/>
      <c r="H949" s="1"/>
      <c r="I949" s="1"/>
    </row>
    <row r="950" spans="6:9" ht="13.2">
      <c r="F950" s="1"/>
      <c r="G950" s="1"/>
      <c r="H950" s="1"/>
      <c r="I950" s="1"/>
    </row>
    <row r="951" spans="6:9" ht="13.2">
      <c r="F951" s="1"/>
      <c r="G951" s="1"/>
      <c r="H951" s="1"/>
      <c r="I951" s="1"/>
    </row>
    <row r="952" spans="6:9" ht="13.2">
      <c r="F952" s="1"/>
      <c r="G952" s="1"/>
      <c r="H952" s="1"/>
      <c r="I952" s="1"/>
    </row>
    <row r="953" spans="6:9" ht="13.2">
      <c r="F953" s="1"/>
      <c r="G953" s="1"/>
      <c r="H953" s="1"/>
      <c r="I953" s="1"/>
    </row>
    <row r="954" spans="6:9" ht="13.2">
      <c r="F954" s="1"/>
      <c r="G954" s="1"/>
      <c r="H954" s="1"/>
      <c r="I954" s="1"/>
    </row>
    <row r="955" spans="6:9" ht="13.2">
      <c r="F955" s="1"/>
      <c r="G955" s="1"/>
      <c r="H955" s="1"/>
      <c r="I955" s="1"/>
    </row>
    <row r="956" spans="6:9" ht="13.2">
      <c r="F956" s="1"/>
      <c r="G956" s="1"/>
      <c r="H956" s="1"/>
      <c r="I956" s="1"/>
    </row>
    <row r="957" spans="6:9" ht="13.2">
      <c r="F957" s="1"/>
      <c r="G957" s="1"/>
      <c r="H957" s="1"/>
      <c r="I957" s="1"/>
    </row>
    <row r="958" spans="6:9" ht="13.2">
      <c r="F958" s="1"/>
      <c r="G958" s="1"/>
      <c r="H958" s="1"/>
      <c r="I958" s="1"/>
    </row>
    <row r="959" spans="6:9" ht="13.2">
      <c r="F959" s="1"/>
      <c r="G959" s="1"/>
      <c r="H959" s="1"/>
      <c r="I959" s="1"/>
    </row>
    <row r="960" spans="6:9" ht="13.2">
      <c r="F960" s="1"/>
      <c r="G960" s="1"/>
      <c r="H960" s="1"/>
      <c r="I960" s="1"/>
    </row>
    <row r="961" spans="6:9" ht="13.2">
      <c r="F961" s="1"/>
      <c r="G961" s="1"/>
      <c r="H961" s="1"/>
      <c r="I961" s="1"/>
    </row>
    <row r="962" spans="6:9" ht="13.2">
      <c r="F962" s="1"/>
      <c r="G962" s="1"/>
      <c r="H962" s="1"/>
      <c r="I962" s="1"/>
    </row>
    <row r="963" spans="6:9" ht="13.2">
      <c r="F963" s="1"/>
      <c r="G963" s="1"/>
      <c r="H963" s="1"/>
      <c r="I963" s="1"/>
    </row>
    <row r="964" spans="6:9" ht="13.2">
      <c r="F964" s="1"/>
      <c r="G964" s="1"/>
      <c r="H964" s="1"/>
      <c r="I964" s="1"/>
    </row>
    <row r="965" spans="6:9" ht="13.2">
      <c r="F965" s="1"/>
      <c r="G965" s="1"/>
      <c r="H965" s="1"/>
      <c r="I965" s="1"/>
    </row>
    <row r="966" spans="6:9" ht="13.2">
      <c r="F966" s="1"/>
      <c r="G966" s="1"/>
      <c r="H966" s="1"/>
      <c r="I966" s="1"/>
    </row>
    <row r="967" spans="6:9" ht="13.2">
      <c r="F967" s="1"/>
      <c r="G967" s="1"/>
      <c r="H967" s="1"/>
      <c r="I967" s="1"/>
    </row>
    <row r="968" spans="6:9" ht="13.2">
      <c r="F968" s="1"/>
      <c r="G968" s="1"/>
      <c r="H968" s="1"/>
      <c r="I968" s="1"/>
    </row>
    <row r="969" spans="6:9" ht="13.2">
      <c r="F969" s="1"/>
      <c r="G969" s="1"/>
      <c r="H969" s="1"/>
      <c r="I969" s="1"/>
    </row>
    <row r="970" spans="6:9" ht="13.2">
      <c r="F970" s="1"/>
      <c r="G970" s="1"/>
      <c r="H970" s="1"/>
      <c r="I970" s="1"/>
    </row>
    <row r="971" spans="6:9" ht="13.2">
      <c r="F971" s="1"/>
      <c r="G971" s="1"/>
      <c r="H971" s="1"/>
      <c r="I971" s="1"/>
    </row>
    <row r="972" spans="6:9" ht="13.2">
      <c r="F972" s="1"/>
      <c r="G972" s="1"/>
      <c r="H972" s="1"/>
      <c r="I972" s="1"/>
    </row>
    <row r="973" spans="6:9" ht="13.2">
      <c r="F973" s="1"/>
      <c r="G973" s="1"/>
      <c r="H973" s="1"/>
      <c r="I973" s="1"/>
    </row>
    <row r="974" spans="6:9" ht="13.2">
      <c r="F974" s="1"/>
      <c r="G974" s="1"/>
      <c r="H974" s="1"/>
      <c r="I974" s="1"/>
    </row>
    <row r="975" spans="6:9" ht="13.2">
      <c r="F975" s="1"/>
      <c r="G975" s="1"/>
      <c r="H975" s="1"/>
      <c r="I975" s="1"/>
    </row>
    <row r="976" spans="6:9" ht="13.2">
      <c r="F976" s="1"/>
      <c r="G976" s="1"/>
      <c r="H976" s="1"/>
      <c r="I976" s="1"/>
    </row>
    <row r="977" spans="6:9" ht="13.2">
      <c r="F977" s="1"/>
      <c r="G977" s="1"/>
      <c r="H977" s="1"/>
      <c r="I977" s="1"/>
    </row>
    <row r="978" spans="6:9" ht="13.2">
      <c r="F978" s="1"/>
      <c r="G978" s="1"/>
      <c r="H978" s="1"/>
      <c r="I978" s="1"/>
    </row>
    <row r="979" spans="6:9" ht="13.2">
      <c r="F979" s="1"/>
      <c r="G979" s="1"/>
      <c r="H979" s="1"/>
      <c r="I979" s="1"/>
    </row>
    <row r="980" spans="6:9" ht="13.2">
      <c r="F980" s="1"/>
      <c r="G980" s="1"/>
      <c r="H980" s="1"/>
      <c r="I980" s="1"/>
    </row>
    <row r="981" spans="6:9" ht="13.2">
      <c r="F981" s="1"/>
      <c r="G981" s="1"/>
      <c r="H981" s="1"/>
      <c r="I981" s="1"/>
    </row>
    <row r="982" spans="6:9" ht="13.2">
      <c r="F982" s="1"/>
      <c r="G982" s="1"/>
      <c r="H982" s="1"/>
      <c r="I982" s="1"/>
    </row>
    <row r="983" spans="6:9" ht="13.2">
      <c r="F983" s="1"/>
      <c r="G983" s="1"/>
      <c r="H983" s="1"/>
      <c r="I983" s="1"/>
    </row>
    <row r="984" spans="6:9" ht="13.2">
      <c r="F984" s="1"/>
      <c r="G984" s="1"/>
      <c r="H984" s="1"/>
      <c r="I984" s="1"/>
    </row>
    <row r="985" spans="6:9" ht="13.2">
      <c r="F985" s="1"/>
      <c r="G985" s="1"/>
      <c r="H985" s="1"/>
      <c r="I985" s="1"/>
    </row>
    <row r="986" spans="6:9" ht="13.2">
      <c r="F986" s="1"/>
      <c r="G986" s="1"/>
      <c r="H986" s="1"/>
      <c r="I986" s="1"/>
    </row>
    <row r="987" spans="6:9" ht="13.2">
      <c r="F987" s="1"/>
      <c r="G987" s="1"/>
      <c r="H987" s="1"/>
      <c r="I987" s="1"/>
    </row>
    <row r="988" spans="6:9" ht="13.2">
      <c r="F988" s="1"/>
      <c r="G988" s="1"/>
      <c r="H988" s="1"/>
      <c r="I988" s="1"/>
    </row>
    <row r="989" spans="6:9" ht="13.2">
      <c r="F989" s="1"/>
      <c r="G989" s="1"/>
      <c r="H989" s="1"/>
      <c r="I989" s="1"/>
    </row>
    <row r="990" spans="6:9" ht="13.2">
      <c r="F990" s="1"/>
      <c r="G990" s="1"/>
      <c r="H990" s="1"/>
      <c r="I990" s="1"/>
    </row>
    <row r="991" spans="6:9" ht="13.2">
      <c r="F991" s="1"/>
      <c r="G991" s="1"/>
      <c r="H991" s="1"/>
      <c r="I991" s="1"/>
    </row>
    <row r="992" spans="6:9" ht="13.2">
      <c r="F992" s="1"/>
      <c r="G992" s="1"/>
      <c r="H992" s="1"/>
      <c r="I992" s="1"/>
    </row>
    <row r="993" spans="6:9" ht="13.2">
      <c r="F993" s="1"/>
      <c r="G993" s="1"/>
      <c r="H993" s="1"/>
      <c r="I993" s="1"/>
    </row>
    <row r="994" spans="6:9" ht="13.2">
      <c r="F994" s="1"/>
      <c r="G994" s="1"/>
      <c r="H994" s="1"/>
      <c r="I994" s="1"/>
    </row>
    <row r="995" spans="6:9" ht="13.2">
      <c r="F995" s="1"/>
      <c r="G995" s="1"/>
      <c r="H995" s="1"/>
      <c r="I995" s="1"/>
    </row>
    <row r="996" spans="6:9" ht="13.2">
      <c r="F996" s="1"/>
      <c r="G996" s="1"/>
      <c r="H996" s="1"/>
      <c r="I996" s="1"/>
    </row>
    <row r="997" spans="6:9" ht="13.2">
      <c r="F997" s="1"/>
      <c r="G997" s="1"/>
      <c r="H997" s="1"/>
      <c r="I997" s="1"/>
    </row>
    <row r="998" spans="6:9" ht="13.2">
      <c r="F998" s="1"/>
      <c r="G998" s="1"/>
      <c r="H998" s="1"/>
      <c r="I998" s="1"/>
    </row>
    <row r="999" spans="6:9" ht="13.2">
      <c r="F999" s="1"/>
      <c r="G999" s="1"/>
      <c r="H999" s="1"/>
      <c r="I999" s="1"/>
    </row>
    <row r="1000" spans="6:9" ht="13.2">
      <c r="F1000" s="1"/>
      <c r="G1000" s="1"/>
      <c r="H1000" s="1"/>
      <c r="I1000" s="1"/>
    </row>
  </sheetData>
  <conditionalFormatting sqref="F1:I1000">
    <cfRule type="expression" dxfId="1" priority="1">
      <formula>F1=$C1</formula>
    </cfRule>
  </conditionalFormatting>
  <conditionalFormatting sqref="F2:I1000">
    <cfRule type="notContainsBlanks" dxfId="0" priority="2">
      <formula>LEN(TRIM(F2))&gt;0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6"/>
  <sheetViews>
    <sheetView workbookViewId="0"/>
  </sheetViews>
  <sheetFormatPr defaultColWidth="12.6640625" defaultRowHeight="15.75" customHeight="1"/>
  <cols>
    <col min="1" max="1" width="31.44140625" customWidth="1"/>
    <col min="4" max="4" width="13.33203125" customWidth="1"/>
  </cols>
  <sheetData>
    <row r="1" spans="1:11">
      <c r="B1" s="1" t="s">
        <v>5</v>
      </c>
      <c r="C1" s="1" t="s">
        <v>6</v>
      </c>
      <c r="D1" s="1" t="s">
        <v>7</v>
      </c>
      <c r="E1" s="1" t="s">
        <v>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s="1" t="s">
        <v>53</v>
      </c>
      <c r="B2" s="1">
        <f>SUMPRODUCT(--(Dados!C:C=Dados!F:F), --(Dados!F:F&lt;&gt;""))</f>
        <v>62</v>
      </c>
      <c r="C2" s="1">
        <f>SUMPRODUCT(--(Dados!C:C=Dados!G:G), --(Dados!G:G&lt;&gt;""))</f>
        <v>59</v>
      </c>
      <c r="D2" s="1">
        <f>SUMPRODUCT(--(Dados!C:C=Dados!H:H), --(Dados!H:H&lt;&gt;""))</f>
        <v>69</v>
      </c>
      <c r="E2" s="1">
        <f>SUMPRODUCT(--(Dados!C:C=Dados!I:I), --(Dados!I:I&lt;&gt;""))</f>
        <v>64</v>
      </c>
      <c r="G2" s="1" t="s">
        <v>54</v>
      </c>
      <c r="H2" s="1">
        <f>SUM(Dados!J:J)</f>
        <v>3</v>
      </c>
      <c r="I2" s="1">
        <f>SUM(Dados!K:K)</f>
        <v>20</v>
      </c>
      <c r="J2" s="1">
        <f>SUM(Dados!L:L)</f>
        <v>3</v>
      </c>
      <c r="K2" s="1">
        <f>SUM(Dados!M:M)</f>
        <v>6</v>
      </c>
    </row>
    <row r="3" spans="1:11">
      <c r="A3" s="1" t="s">
        <v>55</v>
      </c>
      <c r="B3" s="1">
        <f>SUMPRODUCT(--(Dados!C:C&lt;&gt;Dados!F:F), --(Dados!F:F&lt;&gt;""))</f>
        <v>8</v>
      </c>
      <c r="C3" s="1">
        <f>SUMPRODUCT(--(Dados!C:C&lt;&gt;Dados!G:G), --(Dados!G:G&lt;&gt;""))</f>
        <v>11</v>
      </c>
      <c r="D3" s="1">
        <f>SUMPRODUCT(--(Dados!C:C&lt;&gt;Dados!H:H), --(Dados!H:H&lt;&gt;""))</f>
        <v>9</v>
      </c>
      <c r="E3" s="1">
        <f>SUMPRODUCT(--(Dados!C:C&lt;&gt;Dados!I:I), --(Dados!I:I&lt;&gt;""))</f>
        <v>6</v>
      </c>
    </row>
    <row r="4" spans="1:11">
      <c r="A4" s="1" t="s">
        <v>54</v>
      </c>
      <c r="B4" s="1">
        <f t="shared" ref="B4:E4" si="0">SUM(B2:B3)</f>
        <v>70</v>
      </c>
      <c r="C4" s="1">
        <f t="shared" si="0"/>
        <v>70</v>
      </c>
      <c r="D4" s="1">
        <f t="shared" si="0"/>
        <v>78</v>
      </c>
      <c r="E4" s="1">
        <f t="shared" si="0"/>
        <v>70</v>
      </c>
    </row>
    <row r="5" spans="1:11">
      <c r="A5" s="7" t="s">
        <v>56</v>
      </c>
      <c r="B5" s="7">
        <f t="shared" ref="B5:E5" si="1">B2/B4</f>
        <v>0.88571428571428568</v>
      </c>
      <c r="C5" s="7">
        <f t="shared" si="1"/>
        <v>0.84285714285714286</v>
      </c>
      <c r="D5" s="7">
        <f t="shared" si="1"/>
        <v>0.88461538461538458</v>
      </c>
      <c r="E5" s="7">
        <f t="shared" si="1"/>
        <v>0.91428571428571426</v>
      </c>
    </row>
    <row r="6" spans="1:11">
      <c r="A6" s="1" t="s">
        <v>57</v>
      </c>
      <c r="B6" s="1">
        <f ca="1">IFERROR(__xludf.DUMMYFUNCTION("QUERY(Dados!C:M, ""select count(C) where C = F and J = 1 and F is not null label count(C) ''"")"),2)</f>
        <v>2</v>
      </c>
      <c r="C6" s="1">
        <f ca="1">IFERROR(__xludf.DUMMYFUNCTION("IFERROR(QUERY(Dados!C:M, ""select count(C) where C = G and J = 1 and G is not null label count(C) ''""),0)"),0)</f>
        <v>0</v>
      </c>
      <c r="D6" s="1">
        <f ca="1">IFERROR(__xludf.DUMMYFUNCTION("IFERROR(QUERY(Dados!C:M, ""select count(C) where C = H and J = 1 and H is not null label count(C) ''""),0)"),1)</f>
        <v>1</v>
      </c>
      <c r="E6" s="1">
        <f ca="1">IFERROR(__xludf.DUMMYFUNCTION("IFERROR(QUERY(Dados!C:M, ""select count(C) where C = I and J = 1 and I is not null label count(C) ''""),0)"),2)</f>
        <v>2</v>
      </c>
    </row>
    <row r="7" spans="1:11">
      <c r="A7" s="1" t="s">
        <v>58</v>
      </c>
      <c r="B7" s="1">
        <f ca="1">IFERROR(__xludf.DUMMYFUNCTION("QUERY(Dados!C:M, ""select count(C) where C = F and K = 1 and F is not null label count(C) ''"")"),20)</f>
        <v>20</v>
      </c>
      <c r="C7" s="1">
        <f ca="1">IFERROR(__xludf.DUMMYFUNCTION("IFERROR(QUERY(Dados!C:M, ""select count(C) where C = G and K = 1 and G is not null label count(C) ''""),0)"),17)</f>
        <v>17</v>
      </c>
      <c r="D7" s="1">
        <f ca="1">IFERROR(__xludf.DUMMYFUNCTION("IFERROR(QUERY(Dados!C:M, ""select count(C) where C = H and K = 1 and H is not null label count(C) ''""),0)"),18)</f>
        <v>18</v>
      </c>
      <c r="E7" s="1">
        <f ca="1">IFERROR(__xludf.DUMMYFUNCTION("IFERROR(QUERY(Dados!C:M, ""select count(C) where C = I and K = 1 and I is not null label count(C) ''""),0)"),20)</f>
        <v>20</v>
      </c>
    </row>
    <row r="8" spans="1:11">
      <c r="A8" s="1" t="s">
        <v>59</v>
      </c>
      <c r="B8" s="1">
        <f ca="1">IFERROR(__xludf.DUMMYFUNCTION("QUERY(Dados!C:M, ""select count(C) where C = F and L = 1 and F is not null label count(C) ''"")"),3)</f>
        <v>3</v>
      </c>
      <c r="C8" s="1">
        <f ca="1">IFERROR(__xludf.DUMMYFUNCTION("IFERROR(QUERY(Dados!C:M, ""select count(C) where C = G and L = 1 and G is not null label count(C) ''""),0)"),3)</f>
        <v>3</v>
      </c>
      <c r="D8" s="1">
        <f ca="1">IFERROR(__xludf.DUMMYFUNCTION("IFERROR(QUERY(Dados!C:M, ""select count(C) where C = H and L = 1 and H is not null label count(C) ''""),0)"),3)</f>
        <v>3</v>
      </c>
      <c r="E8" s="1">
        <f ca="1">IFERROR(__xludf.DUMMYFUNCTION("IFERROR(QUERY(Dados!C:M, ""select count(C) where C = I and L = 1 and I is not null label count(C) ''""),0)"),3)</f>
        <v>3</v>
      </c>
    </row>
    <row r="9" spans="1:11">
      <c r="A9" s="1" t="s">
        <v>60</v>
      </c>
      <c r="B9" s="1">
        <f ca="1">IFERROR(__xludf.DUMMYFUNCTION("QUERY(Dados!C:M, ""select count(C) where C = F and M = 1 and F is not null label count(C) ''"")"),6)</f>
        <v>6</v>
      </c>
      <c r="C9" s="1">
        <f ca="1">IFERROR(__xludf.DUMMYFUNCTION("IFERROR(QUERY(Dados!C:M, ""select count(C) where C = G and M = 1 and G is not null label count(C) ''""),0)"),6)</f>
        <v>6</v>
      </c>
      <c r="D9" s="1">
        <f ca="1">IFERROR(__xludf.DUMMYFUNCTION("IFERROR(QUERY(Dados!C:M, ""select count(C) where C = H and M = 1 and H is not null label count(C) ''""),0)"),6)</f>
        <v>6</v>
      </c>
      <c r="E9" s="1">
        <f ca="1">IFERROR(__xludf.DUMMYFUNCTION("IFERROR(QUERY(Dados!C:M, ""select count(C) where C = I and M = 1 and I is not null label count(C) ''""),0)"),6)</f>
        <v>6</v>
      </c>
    </row>
    <row r="10" spans="1:11">
      <c r="A10" s="1" t="s">
        <v>61</v>
      </c>
      <c r="B10" s="7">
        <f ca="1">B6/H2</f>
        <v>0.66666666666666663</v>
      </c>
      <c r="C10" s="7">
        <f ca="1">C6/H2</f>
        <v>0</v>
      </c>
      <c r="D10" s="7">
        <f ca="1">D6/H2</f>
        <v>0.33333333333333331</v>
      </c>
      <c r="E10" s="7">
        <f ca="1">E6/H2</f>
        <v>0.66666666666666663</v>
      </c>
    </row>
    <row r="11" spans="1:11">
      <c r="A11" s="1" t="s">
        <v>62</v>
      </c>
      <c r="B11" s="7">
        <f ca="1">B7/I2</f>
        <v>1</v>
      </c>
      <c r="C11" s="7">
        <f ca="1">C7/I2</f>
        <v>0.85</v>
      </c>
      <c r="D11" s="7">
        <f ca="1">D7/I2</f>
        <v>0.9</v>
      </c>
      <c r="E11" s="7">
        <f ca="1">E7/I2</f>
        <v>1</v>
      </c>
    </row>
    <row r="12" spans="1:11">
      <c r="A12" s="1" t="s">
        <v>63</v>
      </c>
      <c r="B12" s="7">
        <f ca="1">B8/J2</f>
        <v>1</v>
      </c>
      <c r="C12" s="7">
        <f ca="1">C8/J2</f>
        <v>1</v>
      </c>
      <c r="D12" s="7">
        <f ca="1">D8/J2</f>
        <v>1</v>
      </c>
      <c r="E12" s="7">
        <f ca="1">E8/J2</f>
        <v>1</v>
      </c>
    </row>
    <row r="13" spans="1:11">
      <c r="A13" s="1" t="s">
        <v>64</v>
      </c>
      <c r="B13" s="7">
        <f ca="1">B9/K2</f>
        <v>1</v>
      </c>
      <c r="C13" s="7">
        <f ca="1">C9/K2</f>
        <v>1</v>
      </c>
      <c r="D13" s="7">
        <f ca="1">D9/K2</f>
        <v>1</v>
      </c>
      <c r="E13" s="7">
        <f ca="1">E9/K2</f>
        <v>1</v>
      </c>
    </row>
    <row r="14" spans="1:11">
      <c r="A14" s="1" t="s">
        <v>65</v>
      </c>
      <c r="B14" s="1">
        <f>SUMPRODUCT(--(Dados!C2:C21=Dados!F2:F21), --(Dados!F2:F21&lt;&gt;""))</f>
        <v>19</v>
      </c>
      <c r="C14" s="1">
        <f>SUMPRODUCT(--(Dados!C2:C21=Dados!G2:G21), --(Dados!G2:G21&lt;&gt;""))</f>
        <v>17</v>
      </c>
      <c r="D14" s="1">
        <f>SUMPRODUCT(--(Dados!C2:C21=Dados!H2:H21), --(Dados!H2:H21&lt;&gt;""))</f>
        <v>20</v>
      </c>
      <c r="E14" s="1">
        <f>SUMPRODUCT(--(Dados!C2:C21=Dados!I2:I21), --(Dados!I2:I21&lt;&gt;""))</f>
        <v>20</v>
      </c>
    </row>
    <row r="15" spans="1:11">
      <c r="A15" s="1" t="s">
        <v>66</v>
      </c>
      <c r="B15" s="1">
        <f>SUMPRODUCT(--(Dados!C22:C51=Dados!F22:F51), --(Dados!F22:F51&lt;&gt;""))</f>
        <v>26</v>
      </c>
      <c r="C15" s="1">
        <f>SUMPRODUCT(--(Dados!C22:C51=Dados!G22:G51), --(Dados!G22:G51&lt;&gt;""))</f>
        <v>25</v>
      </c>
      <c r="D15" s="1">
        <f>SUMPRODUCT(--(Dados!C22:C51=Dados!H22:H51), --(Dados!H22:H51&lt;&gt;""))</f>
        <v>25</v>
      </c>
      <c r="E15" s="1">
        <f>SUMPRODUCT(--(Dados!C22:C51=Dados!I22:I51), --(Dados!I22:I51&lt;&gt;""))</f>
        <v>26</v>
      </c>
    </row>
    <row r="16" spans="1:11">
      <c r="A16" s="1" t="s">
        <v>67</v>
      </c>
      <c r="B16" s="1">
        <f>SUMPRODUCT(--(Dados!C52:C71=Dados!F52:F71), --(Dados!F52:F71&lt;&gt;""))</f>
        <v>17</v>
      </c>
      <c r="C16" s="1">
        <f>SUMPRODUCT(--(Dados!C4:C23=Dados!G4:G23), --(Dados!G4:G23&lt;&gt;""))</f>
        <v>17</v>
      </c>
      <c r="D16" s="1">
        <f>SUMPRODUCT(--(Dados!C52:C71=Dados!H52:H71), --(Dados!H52:H71&lt;&gt;""))</f>
        <v>16</v>
      </c>
      <c r="E16" s="1">
        <f>SUMPRODUCT(--(Dados!C52:C71=Dados!I52:I71), --(Dados!I52:I71&lt;&gt;""))</f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Analise Parcial</vt:lpstr>
      <vt:lpstr>Dados Humanos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Secundo</cp:lastModifiedBy>
  <dcterms:modified xsi:type="dcterms:W3CDTF">2025-09-17T09:25:13Z</dcterms:modified>
</cp:coreProperties>
</file>