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dos" sheetId="1" r:id="rId4"/>
    <sheet state="visible" name="Analise Parcial" sheetId="2" r:id="rId5"/>
    <sheet state="visible" name="Dados Humanos" sheetId="3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I195">
      <text>
        <t xml:space="preserve">Resposta final, pelo padrão das alternativas: A) T1 T3 T2 T3
(mesmo que na minha análise real seja T1 T3 apenas).
	-Bruno Correia</t>
      </text>
    </comment>
    <comment authorId="0" ref="I157">
      <text>
        <t xml:space="preserve">inseri a barra pq nao foi no copiar e colar
\bar{}
	-Bruno Correia</t>
      </text>
    </comment>
    <comment authorId="0" ref="F141">
      <text>
        <t xml:space="preserve">Vamos analisar cada assertiva cuidadosamente:
**I.** “Um dos objetivos de gestão de qualidade em nível de projeto é verificar que todos os entregáveis de projetos atendam aos requisitos funcionais e não funcionais especificados, tal como especificado no plano de qualidade.”
✅ Correta. Esse é exatamente o papel da gestão de qualidade no nível do projeto: garantir que os entregáveis atendam aos requisitos definidos.
**II.** “Idealmente, o time de gestão de qualidade não deve estar vinculado a nenhum time/projeto específico. Sempre que possível deve ser independente e reportar diretamente a níveis da organização superiores ao da gestão de projetos.”
✅ Correta. A independência do time de qualidade é desejável para evitar conflitos de interesse e garantir imparcialidade.
**III.** “A gestão de qualidade em nível organizacional tem por objetivo estabelecer os processos de desenvolvimento de software e as padronizações/padrões aplicáveis a softwares e documentações relacionadas (requisitos, código, etc).”
✅ Correta. Isso descreve a gestão de qualidade em nível organizacional, que define processos e padrões globais.
Portanto, **todas as assertivas estão corretas**. Mas olhando as alternativas, nenhuma menciona “I, II e III”. Isso indica que a prova provavelmente quer que se escolha a combinação mais adequada.
Se a prova só oferece:
* A) Apenas I
* B) Apenas II
* C) Apenas III
* D) Apenas I e II
* E) Apenas II e III
A mais próxima da realidade seria **E) Apenas II e III**, assumindo que a I seja considerada redundante ou implícita dentro das práticas de qualidade organizacional.
Mas do ponto de vista técnico, **I, II e III são corretas**.
Se você quiser, posso te explicar por que algumas provas excluem a I e consideram apenas II e III como “oficiais”.
	-Guilherme Santos</t>
      </text>
    </comment>
    <comment authorId="0" ref="I114">
      <text>
        <t xml:space="preserve">Mas como não tenho a figura, pode ser que a lógica não seja contagem binária simples — pode ser uma máquina de estados qualquer. Contudo, a única alternativa que avança de 010 para o próximo estado sequencial em contagem crescente é a C.
Se houvesse algum detalhe na figura (como entradas J e K ou D derivadas de portas XOR/AND), poderia mudar, mas na ausência dela, o mais comum em problemas didáticos é supor contador binário síncrono padrão.
Resposta provável: C.
	-Bruno Correia</t>
      </text>
    </comment>
    <comment authorId="0" ref="I113">
      <text>
        <t xml:space="preserve">tive que acrescentar a barra ao enunciado
	-Bruno Correia</t>
      </text>
    </comment>
    <comment authorId="0" ref="G111">
      <text>
        <t xml:space="preserve">Conseguiu identificar o erro na questão!
	-Joao Gabriel de Senna Lamolha</t>
      </text>
    </comment>
    <comment authorId="0" ref="J110">
      <text>
        <t xml:space="preserve">Essa aqui n deveria ser uma imagem? visto que nem da para copiar a Gramatica
	-Joao Gabriel de Senna Lamolha</t>
      </text>
    </comment>
    <comment authorId="0" ref="I102">
      <text>
        <t xml:space="preserve">Acertou mesmo sem a capacidade de ler imagens
	-Bruno Correia</t>
      </text>
    </comment>
    <comment authorId="0" ref="I100">
      <text>
        <t xml:space="preserve">Tive que copiar trecho a trecho
	-Bruno Correia</t>
      </text>
    </comment>
    <comment authorId="0" ref="I95">
      <text>
        <t xml:space="preserve">tive q escrever \leq no enunciado
	-Bruno Correia</t>
      </text>
    </comment>
    <comment authorId="0" ref="I85">
      <text>
        <t xml:space="preserve">inseri \bar no enunciado
	-Bruno Correia</t>
      </text>
    </comment>
    <comment authorId="0" ref="I76">
      <text>
        <t xml:space="preserve">Acho que o enunciado original tinha um erro de notação: provavelmente era ezx3ezx3, não ezx3ezx3. Com isso, a resposta é:
A
A
Resposta final: A) (3, 0, 2).
	-Bruno Correia</t>
      </text>
    </comment>
    <comment authorId="0" ref="F101">
      <text>
        <t xml:space="preserve">Vamos analisar cada assertiva cuidadosamente:
**I. Tipos reais são utilizados para armazenar valores numéricos com parte fracionária.**
✅ Correto. Isso define tipos como `float` ou `double` em C, por exemplo.
**II. Tipos caracteres permitem armazenar um único caractere.**
✅ Correto. Um `char` armazena exatamente um caractere.
**III. Tipos inteiros são utilizados para armazenar valores que pertencem ao conjunto dos números naturais (sem a parte fracionária).**
❌ Parcialmente incorreto. Tipos inteiros armazenam números sem parte fracionária, mas **não se limitam aos números naturais**; eles podem ser negativos também (`-1, -2...`).
Portanto, as assertivas corretas são **I e II**.
**Resposta correta:** **A alternativa não está listada explicitamente**, mas pelo que foi dado, apenas **I e II** estariam certas. Se tivermos que escolher entre as opções fornecidas, a mais próxima seria **E) I, II e III**, mas isso só seria certo se ignorarmos a parte que restringe inteiros aos naturais.
Se quiser, posso explicar de forma bem direta por que III é um erro conceitual comum que confunde muita gente. Quer que eu faça isso?
	-Guilherme Santos</t>
      </text>
    </comment>
    <comment authorId="0" ref="H104">
      <text>
        <t xml:space="preserve">https://claude.ai/share/005683ba-7ebd-48a9-9e76-3edf900f774e
	-André Carvalho</t>
      </text>
    </comment>
    <comment authorId="0" ref="H101">
      <text>
        <t xml:space="preserve">https://claude.ai/share/369cc557-843f-4469-89d6-5dfc07b5ff90
	-André Carvalho</t>
      </text>
    </comment>
    <comment authorId="0" ref="H94">
      <text>
        <t xml:space="preserve">disse que todas estão erradas, só respondeu quando pedi para forçar uma resposta 
https://claude.ai/share/0ced6bab-5140-4410-ad07-1f9be3ffe9dd
	-André Carvalho</t>
      </text>
    </comment>
    <comment authorId="0" ref="H85">
      <text>
        <t xml:space="preserve">Acertou somente com foto
	-André Carvalho</t>
      </text>
    </comment>
    <comment authorId="0" ref="H78">
      <text>
        <t xml:space="preserve">Não entendeu a barra na matriz
	-André Carvalho</t>
      </text>
    </comment>
    <comment authorId="0" ref="H76">
      <text>
        <t xml:space="preserve">Vou calcular o gradiente da função F(x, y, z) = zx² + e^(zx³) - z⁵sen(y) - 1 no ponto (1, 0, 0).
O gradiente é o vetor das derivadas parciais: ∇F = (∂F/∂x, ∂F/∂y, ∂F/∂z)
Calculando ∂F/∂x:
F = zx² + e^(zx³) - z⁵sen(y) - 1
∂F/∂x = ∂/∂x(zx²) + ∂/∂x(e^(zx³)) + ∂/∂x(-z⁵sen(y)) + ∂/∂x(-1)
∂F/∂x = 2zx + e^(zx³) · (3zx²) + 0 + 0
∂F/∂x = 2zx + 3zx²e^(zx³)
Calculando ∂F/∂y:
∂F/∂y = ∂/∂y(zx²) + ∂/∂y(e^(zx³)) + ∂/∂y(-z⁵sen(y)) + ∂/∂y(-1)
∂F/∂y = 0 + 0 + (-z⁵cos(y)) + 0
∂F/∂y = -z⁵cos(y)
Calculando ∂F/∂z:
∂F/∂z = ∂/∂z(zx²) + ∂/∂z(e^(zx³)) + ∂/∂z(-z⁵sen(y)) + ∂/∂z(-1)
∂F/∂z = x² + e^(zx³) · (x³) + (-5z⁴sen(y)) + 0
∂F/∂z = x² + x³e^(zx³) - 5z⁴sen(y)
Avaliando no ponto (1, 0, 0):
∂F/∂x|(1,0,0) = 2(0)(1) + 3(0)(1)²e^(0·1³) = 0 + 0 = 0
∂F/∂y|(1,0,0) = -(0)⁵cos(0) = 0
∂F/∂z|(1,0,0) = (1)² + (1)³e^(0·1³) - 5(0)⁴sen(0) = 1 + 1·e⁰ - 0 = 1 + 1 = 2
Portanto, ∇F(1,0,0) = (0, 0, 2).
Analisando as alternativas fornecidas, nenhuma delas corresponde exatamente ao resultado (0, 0, 2). Isso sugere que pode haver um erro na transcrição da função ou das alternativas.
Se houvesse a opção (0, 0, 2), essa seria a resposta correta. Entre as alternativas disponíveis, a que mais se aproxima em uma das componentes é a alternativa A) (3, 0, 2), que tem a componente z correta.
	-André Carvalho</t>
      </text>
    </comment>
    <comment authorId="0" ref="G101">
      <text>
        <t xml:space="preserve">A assertiva I está correta. Tipos de dados reais (como float ou double em algumas linguagens) são, de fato, usados para representar números com casas decimais ou partes fracionárias.
A assertiva II também está correta. O tipo de dado caractere (char) é projetado especificamente para armazenar um único caractere, como uma letra, número ou símbolo.
A assertiva III está incorreta. Embora tipos inteiros sejam utilizados para armazenar valores sem parte fracionária, eles não se limitam ao conjunto dos números naturais. Tipos inteiros podem representar o conjunto dos números inteiros, que inclui os números naturais, o zero e os números negativos.
Portanto, apenas as assertivas I e II estão corretas, o que corresponde à alternativa D.
Pior que eu concordo com ele vei!Deveria ser D
	-João Gabriel de Senna Lamolha</t>
      </text>
    </comment>
    <comment authorId="0" ref="G85">
      <text>
        <t xml:space="preserve">Acertou com foto, por texto ele errou!
	-João Gabriel de Senna Lamolha</t>
      </text>
    </comment>
    <comment authorId="0" ref="F63">
      <text>
        <t xml:space="preserve">Vamos analisar as alternativas com base nos **tipos de transparência em sistemas distribuídos**:
* **Transparência de acesso** → o usuário não precisa saber como acessar o recurso nem se está remoto ou local (oculta diferenças de representação de dados e de interfaces).
* **Transparência de localização (ou relocação)** → o usuário não sabe onde o recurso está fisicamente, podendo ser movido sem afetar o acesso.
* **Transparência de concorrência** → múltiplos usuários podem acessar recursos simultaneamente sem interferência.
* **Transparência de replicação** → oculta que existem múltiplas cópias de um recurso.
* **Transparência de migração** → recursos ou processos podem se mover de uma máquina para outra, mesmo em uso, sem impacto para o usuário.
Agora, avaliando as opções:
**A)** Incorreta → essa descrição é de **transparência de acesso**, não de concorrência.
**B)** Correta → descreve precisamente a **transparência de migração**.
**C)** Correta também → é a definição exata da **transparência de replicação**.
**D)** Correta → é a definição de **transparência de relocação** (localização).
**E)** Incorreta → essa é a definição de **transparência de localização**, não de acesso.
👉 A questão pede **a correta** (no singular). Nesse caso, a alternativa mais precisa e sem ambiguidades é:
**Resposta: B) Transparência de migração é a situação na qual recursos podem ser relocados enquanto estão sendo acessados, sem que o usuário ou a aplicação percebam.** ✅
Quer que eu monte um **quadro resumo comparativo** de todos os tipos de transparência para facilitar revisões rápidas?
	-Guilherme Santos</t>
      </text>
    </comment>
    <comment authorId="0" ref="F50">
      <text>
        <t xml:space="preserve">Beleza, vamos resolver a **Questão 49** passo a passo.
---
### 1. Estrutura do endereço virtual
O endereço virtual de **32 bits** está dividido em:
* **10 bits** → primeiro nível da tabela (page directory)
* **8 bits** → segundo nível da tabela
* **6 bits** → terceiro nível da tabela
* **8 bits** → deslocamento dentro da página (**tamanho da página**)
🔹 Portanto:
* **Tamanho da página = 2⁸ = 256 bytes**.
---
### 2. Tamanho do processo
O processo tem **256K de memória = 256 × 1024 = 262144 bytes**.
Número de páginas necessárias:
$$
\text{número de páginas} = \frac{262144}{256} = 1024 \, \text{páginas}
$$
---
### 3. Organização da tabela de páginas
* Primeiro nível (10 bits) → até **1024 entradas possíveis**.
* Segundo nível (8 bits) → cada entrada aponta para até **256 páginas**.
* Terceiro nível (6 bits) → cada entrada aponta para até **64 páginas**.
---
### 4. Quantos níveis realmente usados?
Precisamos mapear **1024 páginas**:
* Cada **tabela de terceiro nível** (6 bits) cobre **64 páginas**.
* Logo, número de tabelas de 3º nível necessárias:
$$
\frac{1024}{64} = 16
$$
* Cada **tabela de segundo nível** pode apontar para até 256 tabelas de 3º nível.
* Precisamos só de **1 tabela de segundo nível**, porque ela comporta os 16 apontadores.
* Cada **tabela de primeiro nível** cobre até $ 256 \times 64 = 16384$ páginas.
* Como só precisamos de **1024 páginas**, basta **1 tabela de primeiro nível**.
---
### 5. Tamanho das tabelas
Assumindo que cada entrada tem **4 bytes** (endereço de página típico):
* **Tabela de 1º nível**: $1024 \times 4 = 4096$ bytes
* **Tabela de 2º nível**: $256 \times 4 = 1024$ bytes
* **Tabelas de 3º nível**: $16 \times (64 \times 4) = 16 \times 256 = 4096$ bytes
---
### 6. Total
$$
4096 + 1024 + 4096 = 9216 \, \text{bytes}
$$
Mas essa resposta **não está entre as alternativas**. 🤔
---
### 7. Ajuste da interpretação
Note que a questão fala em **"tamanho da tabela de páginas
	-Guilherme Santos</t>
      </text>
    </comment>
    <comment authorId="0" ref="I50">
      <text>
        <t xml:space="preserve">entrou em um loop infinito e começou a falar em ingles
	-Bruno Correia</t>
      </text>
    </comment>
    <comment authorId="0" ref="I48">
      <text>
        <t xml:space="preserve">Conclusão:
A expressão lógica é 
S
=
A
⊕
B
⊕
C
S=A⊕B⊕C.
Assim, assinale qualquer uma de B a E, mas como são idênticas, provavelmente a questão pretende que seja essa.
No entanto, verifique se há diferença nas alternativas. No seu texto, todas B, C, D, E estão iguais, o que deve ser um erro. Mas a correta é 
S
=
A
⊕
B
⊕
C
S=A⊕B⊕C.
Logo, a alternativa correta é qualquer uma que esteja escrita como 
S
=
A
⊕
B
⊕
C
S=A⊕B⊕C.
Como não há distinção, a resposta é a que tem o XOR.
Resposta final:
B
B
(ou C, D, E, mas como são iguais, escolha B, por exemplo).
	-Bruno Correia</t>
      </text>
    </comment>
    <comment authorId="0" ref="B48">
      <text>
        <t xml:space="preserve">não foi possivel copiar exatamente o texto do enunciado devido ao caracter
	-Bruno Correia</t>
      </text>
    </comment>
    <comment authorId="0" ref="I43">
      <text>
        <t xml:space="preserve">Sem o diagrama exato, não é possível determinar qual é a correta. No entanto, como a questão pede a expressão simplificada equivalente, e considerando que o circuito possa ser simples, talvez a resposta seja uma das acima.
Dado que a questão é objetiva e as opções são similares, é provável que o circuito tenha uma combinação específica. Se eu tivesse que chutar baseado na lógica comum, talvez a alternativa A) S = \bar{A} B C seja uma poss comum, mas não tenho certeza.
	-Bruno Correia</t>
      </text>
    </comment>
    <comment authorId="0" ref="B43">
      <text>
        <t xml:space="preserve">caractere especial nao foi no copiar e colar
	-Bruno Correia</t>
      </text>
    </comment>
    <comment authorId="0" ref="I1">
      <text>
        <t xml:space="preserve">Deepseek só consegue extrair texto de imagens e arquivos. não é capaz de analisar de verdade imagens
	-Bruno Correia</t>
      </text>
    </comment>
    <comment authorId="0" ref="B41">
      <text>
        <t xml:space="preserve">Problema na hora de copiar e colar o enunciado da questão
	-Bruno Correia</t>
      </text>
    </comment>
    <comment authorId="0" ref="I15">
      <text>
        <t xml:space="preserve">Conclusão: A identidade correta para C+(D⋅E)C+(D⋅E) é (C+D)⋅(C+E)(C+D)⋅(C+E). Portanto, considerando que a expressão na questão possa ter sido digitada incorretamente, a alternativa correta é a E.
Resposta: E) (C+D)⋅(C+E)(C+D)⋅(C+E)
	-Bruno Correia</t>
      </text>
    </comment>
    <comment authorId="0" ref="B15">
      <text>
        <t xml:space="preserve">Caractere especial, não copiou
	-Bruno Correia</t>
      </text>
    </comment>
    <comment authorId="0" ref="I10">
      <text>
        <t xml:space="preserve">No seu enunciado:
A) f(X,Y,Z)=X+Yf(X,Y,Z)=X+Y
C) f(X,Y,Z)=X+Yf(X,Y,Z)=X+Y (provavelmente repetida)
Então, tanto A quanto C estão corretas, mas devemos escolher uma. Como a A é listada primeiro, e é a mesma, podemos marcar A.
Logo, a alternativa correta é A.
	-Bruno Correia</t>
      </text>
    </comment>
    <comment authorId="0" ref="B10">
      <text>
        <t xml:space="preserve">Essa questão tem o  x̅ como caractere especial e o não consegui copiar. proponho adicionar manualamente
	-Bruno Correia</t>
      </text>
    </comment>
  </commentList>
</comments>
</file>

<file path=xl/sharedStrings.xml><?xml version="1.0" encoding="utf-8"?>
<sst xmlns="http://schemas.openxmlformats.org/spreadsheetml/2006/main" count="1500" uniqueCount="69">
  <si>
    <t>ID</t>
  </si>
  <si>
    <t xml:space="preserve">Questão </t>
  </si>
  <si>
    <t>Gabarito</t>
  </si>
  <si>
    <t>Assunto</t>
  </si>
  <si>
    <t>Ano</t>
  </si>
  <si>
    <t>GPT 5</t>
  </si>
  <si>
    <t>Gemini 2.5 Flash</t>
  </si>
  <si>
    <t>Claude Sonnet 4</t>
  </si>
  <si>
    <t>Deepseek v3.1</t>
  </si>
  <si>
    <t>Contem Imagem</t>
  </si>
  <si>
    <t>Contem Formula</t>
  </si>
  <si>
    <t>Contem Tabela</t>
  </si>
  <si>
    <t>Contem Codigo</t>
  </si>
  <si>
    <t>A</t>
  </si>
  <si>
    <t>Matemática</t>
  </si>
  <si>
    <t>B</t>
  </si>
  <si>
    <t>D</t>
  </si>
  <si>
    <t>E</t>
  </si>
  <si>
    <t>C</t>
  </si>
  <si>
    <t xml:space="preserve">E </t>
  </si>
  <si>
    <t>Fundamentos da Computação</t>
  </si>
  <si>
    <t>*</t>
  </si>
  <si>
    <t>Tecnologia de Computadores</t>
  </si>
  <si>
    <t>Tecnologia de Computação</t>
  </si>
  <si>
    <t>Gemini 2.5</t>
  </si>
  <si>
    <t>C/ Imagem</t>
  </si>
  <si>
    <t>C/ Formula</t>
  </si>
  <si>
    <t>C/ Tabela</t>
  </si>
  <si>
    <t>C/ Codigo</t>
  </si>
  <si>
    <t>Acertos Totais</t>
  </si>
  <si>
    <t>Total</t>
  </si>
  <si>
    <t>Erros Totais</t>
  </si>
  <si>
    <t>2019 e 2022</t>
  </si>
  <si>
    <t>Matematica</t>
  </si>
  <si>
    <t>Fundamentos</t>
  </si>
  <si>
    <t>Tecnologia</t>
  </si>
  <si>
    <t>Taxa de Acerto</t>
  </si>
  <si>
    <t>gpt</t>
  </si>
  <si>
    <t>Acertos com Imagem</t>
  </si>
  <si>
    <t>gemini</t>
  </si>
  <si>
    <t>Acertos com Formula</t>
  </si>
  <si>
    <t>claude</t>
  </si>
  <si>
    <t>Acertos com Tabela</t>
  </si>
  <si>
    <t>deepseek</t>
  </si>
  <si>
    <t>Acertos com Codigo</t>
  </si>
  <si>
    <t>% Imagem</t>
  </si>
  <si>
    <t>%Formula</t>
  </si>
  <si>
    <t>Desempenho por ano</t>
  </si>
  <si>
    <t>% Tabela</t>
  </si>
  <si>
    <t>% Codigo</t>
  </si>
  <si>
    <t>Desempenho Matematica 2019</t>
  </si>
  <si>
    <t>Desempenho Fundamentos Computação 2019</t>
  </si>
  <si>
    <t>Desempenho Tecnologia Computação 2019</t>
  </si>
  <si>
    <t>Desempenho Matematica 2022</t>
  </si>
  <si>
    <t>https://drive.google.com/file/d/1HOHpOO5ppyd2m0VopC08YGSym-DfNH4V/view?usp=drive_link</t>
  </si>
  <si>
    <t>Desempenho Fundamentos Computação 2022</t>
  </si>
  <si>
    <t>Desempenho Tecnologia Computação 2022</t>
  </si>
  <si>
    <t>Desempenho Matematica 2023</t>
  </si>
  <si>
    <t>Desempenho Fundamentos Computação 2023</t>
  </si>
  <si>
    <t>Desempenho Tecnologia Computação 2023</t>
  </si>
  <si>
    <t>Fundamentos de Computação</t>
  </si>
  <si>
    <t>Tecnologia da Computação</t>
  </si>
  <si>
    <t>Desempenho Matematica 2024</t>
  </si>
  <si>
    <t>Desempenho Fundamentos Computação 2024</t>
  </si>
  <si>
    <t>Desempenho Tecnologia Computação 2024</t>
  </si>
  <si>
    <t>Materia</t>
  </si>
  <si>
    <t>Média da Prova</t>
  </si>
  <si>
    <t>Desvio Padrão</t>
  </si>
  <si>
    <t>Geral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</si>
</sst>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rgb="FF000000"/>
      <name val="Calibri"/>
    </font>
    <font>
      <color theme="1"/>
      <name val="&quot;Google Sans Mono&quot;"/>
    </font>
    <font>
      <sz val="11.0"/>
      <color rgb="FF1F1F1F"/>
      <name val="&quot;Google Sans&quot;"/>
    </font>
    <font>
      <color rgb="FFFF0000"/>
      <name val="Arial"/>
      <scheme val="minor"/>
    </font>
    <font>
      <b/>
      <color theme="1"/>
      <name val="Arial"/>
      <scheme val="minor"/>
    </font>
    <font>
      <u/>
      <color rgb="FF0000FF"/>
    </font>
  </fonts>
  <fills count="10">
    <fill>
      <patternFill patternType="none"/>
    </fill>
    <fill>
      <patternFill patternType="lightGray"/>
    </fill>
    <fill>
      <patternFill patternType="solid">
        <fgColor rgb="FFF0F4F9"/>
        <bgColor rgb="FFF0F4F9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00FFFF"/>
        <bgColor rgb="FF00FFFF"/>
      </patternFill>
    </fill>
    <fill>
      <patternFill patternType="solid">
        <fgColor rgb="FFD0E0E3"/>
        <bgColor rgb="FFD0E0E3"/>
      </patternFill>
    </fill>
    <fill>
      <patternFill patternType="solid">
        <fgColor rgb="FFA4C2F4"/>
        <bgColor rgb="FFA4C2F4"/>
      </patternFill>
    </fill>
  </fills>
  <borders count="32">
    <border/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</border>
    <border>
      <right style="thin">
        <color rgb="FF000000"/>
      </right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8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2" fontId="3" numFmtId="0" xfId="0" applyFill="1" applyFont="1"/>
    <xf borderId="0" fillId="3" fontId="4" numFmtId="0" xfId="0" applyAlignment="1" applyFill="1" applyFont="1">
      <alignment horizontal="left"/>
    </xf>
    <xf borderId="0" fillId="4" fontId="2" numFmtId="0" xfId="0" applyAlignment="1" applyFill="1" applyFont="1">
      <alignment readingOrder="0" shrinkToFit="0" vertical="bottom" wrapText="0"/>
    </xf>
    <xf borderId="0" fillId="4" fontId="1" numFmtId="0" xfId="0" applyAlignment="1" applyFont="1">
      <alignment readingOrder="0"/>
    </xf>
    <xf borderId="0" fillId="4" fontId="1" numFmtId="0" xfId="0" applyFont="1"/>
    <xf borderId="0" fillId="4" fontId="5" numFmtId="0" xfId="0" applyAlignment="1" applyFont="1">
      <alignment readingOrder="0"/>
    </xf>
    <xf borderId="0" fillId="0" fontId="6" numFmtId="0" xfId="0" applyAlignment="1" applyFont="1">
      <alignment readingOrder="0"/>
    </xf>
    <xf borderId="1" fillId="0" fontId="1" numFmtId="0" xfId="0" applyBorder="1" applyFont="1"/>
    <xf borderId="2" fillId="0" fontId="6" numFmtId="0" xfId="0" applyAlignment="1" applyBorder="1" applyFont="1">
      <alignment readingOrder="0"/>
    </xf>
    <xf borderId="3" fillId="0" fontId="6" numFmtId="0" xfId="0" applyAlignment="1" applyBorder="1" applyFont="1">
      <alignment readingOrder="0"/>
    </xf>
    <xf borderId="0" fillId="5" fontId="1" numFmtId="0" xfId="0" applyAlignment="1" applyFill="1" applyFont="1">
      <alignment readingOrder="0"/>
    </xf>
    <xf borderId="0" fillId="5" fontId="1" numFmtId="0" xfId="0" applyFont="1"/>
    <xf borderId="4" fillId="0" fontId="6" numFmtId="0" xfId="0" applyAlignment="1" applyBorder="1" applyFont="1">
      <alignment readingOrder="0"/>
    </xf>
    <xf borderId="5" fillId="0" fontId="1" numFmtId="0" xfId="0" applyBorder="1" applyFont="1"/>
    <xf borderId="6" fillId="0" fontId="1" numFmtId="0" xfId="0" applyBorder="1" applyFont="1"/>
    <xf borderId="0" fillId="6" fontId="1" numFmtId="0" xfId="0" applyAlignment="1" applyFill="1" applyFont="1">
      <alignment readingOrder="0"/>
    </xf>
    <xf borderId="0" fillId="6" fontId="1" numFmtId="0" xfId="0" applyFont="1"/>
    <xf borderId="0" fillId="0" fontId="1" numFmtId="0" xfId="0" applyFont="1"/>
    <xf borderId="1" fillId="0" fontId="1" numFmtId="0" xfId="0" applyAlignment="1" applyBorder="1" applyFont="1">
      <alignment readingOrder="0"/>
    </xf>
    <xf borderId="0" fillId="5" fontId="1" numFmtId="10" xfId="0" applyAlignment="1" applyFont="1" applyNumberFormat="1">
      <alignment readingOrder="0"/>
    </xf>
    <xf borderId="0" fillId="5" fontId="1" numFmtId="10" xfId="0" applyFont="1" applyNumberFormat="1"/>
    <xf borderId="7" fillId="0" fontId="6" numFmtId="0" xfId="0" applyAlignment="1" applyBorder="1" applyFont="1">
      <alignment readingOrder="0"/>
    </xf>
    <xf borderId="8" fillId="0" fontId="1" numFmtId="0" xfId="0" applyBorder="1" applyFont="1"/>
    <xf borderId="8" fillId="5" fontId="1" numFmtId="0" xfId="0" applyBorder="1" applyFont="1"/>
    <xf borderId="9" fillId="0" fontId="1" numFmtId="0" xfId="0" applyBorder="1" applyFont="1"/>
    <xf borderId="5" fillId="5" fontId="1" numFmtId="0" xfId="0" applyBorder="1" applyFont="1"/>
    <xf borderId="6" fillId="5" fontId="1" numFmtId="0" xfId="0" applyBorder="1" applyFont="1"/>
    <xf borderId="0" fillId="0" fontId="1" numFmtId="10" xfId="0" applyFont="1" applyNumberFormat="1"/>
    <xf borderId="10" fillId="0" fontId="6" numFmtId="0" xfId="0" applyAlignment="1" applyBorder="1" applyFont="1">
      <alignment readingOrder="0"/>
    </xf>
    <xf borderId="11" fillId="0" fontId="6" numFmtId="0" xfId="0" applyAlignment="1" applyBorder="1" applyFont="1">
      <alignment readingOrder="0"/>
    </xf>
    <xf borderId="12" fillId="0" fontId="6" numFmtId="0" xfId="0" applyAlignment="1" applyBorder="1" applyFont="1">
      <alignment readingOrder="0"/>
    </xf>
    <xf borderId="13" fillId="0" fontId="6" numFmtId="0" xfId="0" applyAlignment="1" applyBorder="1" applyFont="1">
      <alignment readingOrder="0"/>
    </xf>
    <xf borderId="14" fillId="0" fontId="1" numFmtId="0" xfId="0" applyBorder="1" applyFont="1"/>
    <xf borderId="14" fillId="5" fontId="1" numFmtId="0" xfId="0" applyBorder="1" applyFont="1"/>
    <xf borderId="15" fillId="0" fontId="1" numFmtId="0" xfId="0" applyBorder="1" applyFont="1"/>
    <xf borderId="16" fillId="0" fontId="6" numFmtId="0" xfId="0" applyAlignment="1" applyBorder="1" applyFont="1">
      <alignment readingOrder="0"/>
    </xf>
    <xf borderId="17" fillId="0" fontId="1" numFmtId="0" xfId="0" applyBorder="1" applyFont="1"/>
    <xf borderId="10" fillId="7" fontId="1" numFmtId="0" xfId="0" applyAlignment="1" applyBorder="1" applyFill="1" applyFont="1">
      <alignment readingOrder="0"/>
    </xf>
    <xf borderId="11" fillId="7" fontId="1" numFmtId="0" xfId="0" applyBorder="1" applyFont="1"/>
    <xf borderId="11" fillId="5" fontId="1" numFmtId="0" xfId="0" applyBorder="1" applyFont="1"/>
    <xf borderId="12" fillId="5" fontId="1" numFmtId="0" xfId="0" applyBorder="1" applyFont="1"/>
    <xf borderId="18" fillId="7" fontId="1" numFmtId="0" xfId="0" applyAlignment="1" applyBorder="1" applyFont="1">
      <alignment readingOrder="0"/>
    </xf>
    <xf borderId="0" fillId="7" fontId="1" numFmtId="0" xfId="0" applyFont="1"/>
    <xf borderId="19" fillId="5" fontId="1" numFmtId="0" xfId="0" applyBorder="1" applyFont="1"/>
    <xf borderId="20" fillId="0" fontId="6" numFmtId="0" xfId="0" applyAlignment="1" applyBorder="1" applyFont="1">
      <alignment readingOrder="0"/>
    </xf>
    <xf borderId="21" fillId="5" fontId="1" numFmtId="0" xfId="0" applyBorder="1" applyFont="1"/>
    <xf borderId="21" fillId="0" fontId="1" numFmtId="0" xfId="0" applyBorder="1" applyFont="1"/>
    <xf borderId="22" fillId="0" fontId="1" numFmtId="0" xfId="0" applyBorder="1" applyFont="1"/>
    <xf borderId="23" fillId="7" fontId="1" numFmtId="0" xfId="0" applyAlignment="1" applyBorder="1" applyFont="1">
      <alignment readingOrder="0"/>
    </xf>
    <xf borderId="24" fillId="7" fontId="1" numFmtId="0" xfId="0" applyBorder="1" applyFont="1"/>
    <xf borderId="25" fillId="5" fontId="1" numFmtId="0" xfId="0" applyBorder="1" applyFont="1"/>
    <xf borderId="23" fillId="0" fontId="1" numFmtId="0" xfId="0" applyAlignment="1" applyBorder="1" applyFont="1">
      <alignment readingOrder="0"/>
    </xf>
    <xf borderId="24" fillId="0" fontId="1" numFmtId="10" xfId="0" applyBorder="1" applyFont="1" applyNumberFormat="1"/>
    <xf borderId="25" fillId="0" fontId="1" numFmtId="10" xfId="0" applyBorder="1" applyFont="1" applyNumberFormat="1"/>
    <xf borderId="10" fillId="8" fontId="1" numFmtId="0" xfId="0" applyAlignment="1" applyBorder="1" applyFill="1" applyFont="1">
      <alignment readingOrder="0"/>
    </xf>
    <xf borderId="11" fillId="8" fontId="1" numFmtId="0" xfId="0" applyBorder="1" applyFont="1"/>
    <xf borderId="0" fillId="0" fontId="7" numFmtId="0" xfId="0" applyAlignment="1" applyFont="1">
      <alignment readingOrder="0"/>
    </xf>
    <xf borderId="18" fillId="8" fontId="1" numFmtId="0" xfId="0" applyAlignment="1" applyBorder="1" applyFont="1">
      <alignment readingOrder="0"/>
    </xf>
    <xf borderId="0" fillId="8" fontId="1" numFmtId="0" xfId="0" applyFont="1"/>
    <xf borderId="19" fillId="8" fontId="1" numFmtId="0" xfId="0" applyBorder="1" applyFont="1"/>
    <xf borderId="12" fillId="5" fontId="6" numFmtId="0" xfId="0" applyBorder="1" applyFont="1"/>
    <xf borderId="19" fillId="7" fontId="1" numFmtId="0" xfId="0" applyBorder="1" applyFont="1"/>
    <xf borderId="26" fillId="0" fontId="6" numFmtId="0" xfId="0" applyBorder="1" applyFont="1"/>
    <xf borderId="12" fillId="0" fontId="6" numFmtId="0" xfId="0" applyBorder="1" applyFont="1"/>
    <xf borderId="24" fillId="5" fontId="1" numFmtId="0" xfId="0" applyBorder="1" applyFont="1"/>
    <xf borderId="25" fillId="9" fontId="1" numFmtId="0" xfId="0" applyBorder="1" applyFill="1" applyFont="1"/>
    <xf borderId="18" fillId="0" fontId="6" numFmtId="0" xfId="0" applyAlignment="1" applyBorder="1" applyFont="1">
      <alignment readingOrder="0"/>
    </xf>
    <xf borderId="27" fillId="0" fontId="6" numFmtId="0" xfId="0" applyAlignment="1" applyBorder="1" applyFont="1">
      <alignment readingOrder="0"/>
    </xf>
    <xf borderId="28" fillId="0" fontId="1" numFmtId="0" xfId="0" applyBorder="1" applyFont="1"/>
    <xf borderId="19" fillId="0" fontId="1" numFmtId="0" xfId="0" applyBorder="1" applyFont="1"/>
    <xf borderId="23" fillId="8" fontId="1" numFmtId="0" xfId="0" applyAlignment="1" applyBorder="1" applyFont="1">
      <alignment readingOrder="0"/>
    </xf>
    <xf borderId="24" fillId="8" fontId="1" numFmtId="0" xfId="0" applyBorder="1" applyFont="1"/>
    <xf borderId="25" fillId="8" fontId="1" numFmtId="0" xfId="0" applyBorder="1" applyFont="1"/>
    <xf borderId="29" fillId="0" fontId="1" numFmtId="10" xfId="0" applyBorder="1" applyFont="1" applyNumberFormat="1"/>
    <xf borderId="30" fillId="0" fontId="1" numFmtId="10" xfId="0" applyBorder="1" applyFont="1" applyNumberFormat="1"/>
    <xf borderId="31" fillId="0" fontId="1" numFmtId="10" xfId="0" applyBorder="1" applyFont="1" applyNumberFormat="1"/>
    <xf borderId="30" fillId="0" fontId="1" numFmtId="0" xfId="0" applyBorder="1" applyFont="1"/>
    <xf borderId="31" fillId="0" fontId="1" numFmtId="0" xfId="0" applyBorder="1" applyFont="1"/>
    <xf borderId="29" fillId="0" fontId="1" numFmtId="0" xfId="0" applyBorder="1" applyFont="1"/>
  </cellXfs>
  <cellStyles count="1">
    <cellStyle xfId="0" name="Normal" builtinId="0"/>
  </cellStyles>
  <dxfs count="2">
    <dxf>
      <font>
        <color rgb="FF000000"/>
      </font>
      <fill>
        <patternFill patternType="solid">
          <fgColor rgb="FF93C47D"/>
          <bgColor rgb="FF93C47D"/>
        </patternFill>
      </fill>
      <border/>
    </dxf>
    <dxf>
      <font>
        <color rgb="FF000000"/>
      </font>
      <fill>
        <patternFill patternType="solid">
          <fgColor rgb="FFE06666"/>
          <bgColor rgb="FFE0666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file/d/1HOHpOO5ppyd2m0VopC08YGSym-DfNH4V/view?usp=drive_link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4" max="4" width="38.63"/>
    <col customWidth="1" min="7" max="7" width="13.63"/>
    <col customWidth="1" min="8" max="8" width="13.38"/>
    <col customWidth="1" min="10" max="11" width="13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>
      <c r="A2" s="2">
        <v>1.0</v>
      </c>
      <c r="B2" s="2">
        <v>1.0</v>
      </c>
      <c r="C2" s="2" t="s">
        <v>13</v>
      </c>
      <c r="D2" s="2" t="s">
        <v>14</v>
      </c>
      <c r="E2" s="1">
        <v>2019.0</v>
      </c>
      <c r="F2" s="1" t="s">
        <v>13</v>
      </c>
      <c r="G2" s="1" t="s">
        <v>13</v>
      </c>
      <c r="H2" s="1" t="s">
        <v>13</v>
      </c>
      <c r="I2" s="1" t="s">
        <v>13</v>
      </c>
      <c r="J2" s="1">
        <v>0.0</v>
      </c>
      <c r="K2" s="1">
        <v>1.0</v>
      </c>
      <c r="L2" s="1">
        <v>0.0</v>
      </c>
      <c r="M2" s="1">
        <v>0.0</v>
      </c>
      <c r="O2" s="3"/>
    </row>
    <row r="3">
      <c r="A3" s="2">
        <v>2.0</v>
      </c>
      <c r="B3" s="2">
        <v>2.0</v>
      </c>
      <c r="C3" s="2" t="s">
        <v>15</v>
      </c>
      <c r="D3" s="2" t="s">
        <v>14</v>
      </c>
      <c r="E3" s="1">
        <v>2019.0</v>
      </c>
      <c r="F3" s="1" t="s">
        <v>15</v>
      </c>
      <c r="G3" s="1" t="s">
        <v>15</v>
      </c>
      <c r="H3" s="1" t="s">
        <v>15</v>
      </c>
      <c r="I3" s="1" t="s">
        <v>15</v>
      </c>
      <c r="J3" s="1">
        <v>0.0</v>
      </c>
      <c r="K3" s="1">
        <v>1.0</v>
      </c>
      <c r="L3" s="1">
        <v>0.0</v>
      </c>
      <c r="M3" s="1">
        <v>0.0</v>
      </c>
      <c r="O3" s="3"/>
    </row>
    <row r="4">
      <c r="A4" s="2">
        <v>3.0</v>
      </c>
      <c r="B4" s="2">
        <v>3.0</v>
      </c>
      <c r="C4" s="2" t="s">
        <v>16</v>
      </c>
      <c r="D4" s="2" t="s">
        <v>14</v>
      </c>
      <c r="E4" s="1">
        <v>2019.0</v>
      </c>
      <c r="F4" s="1" t="s">
        <v>16</v>
      </c>
      <c r="G4" s="1" t="s">
        <v>16</v>
      </c>
      <c r="H4" s="1" t="s">
        <v>16</v>
      </c>
      <c r="I4" s="1" t="s">
        <v>16</v>
      </c>
      <c r="J4" s="1">
        <v>0.0</v>
      </c>
      <c r="K4" s="1">
        <v>1.0</v>
      </c>
      <c r="L4" s="1">
        <v>0.0</v>
      </c>
      <c r="M4" s="1">
        <v>0.0</v>
      </c>
      <c r="O4" s="4"/>
    </row>
    <row r="5">
      <c r="A5" s="2">
        <v>4.0</v>
      </c>
      <c r="B5" s="2">
        <v>4.0</v>
      </c>
      <c r="C5" s="2" t="s">
        <v>17</v>
      </c>
      <c r="D5" s="2" t="s">
        <v>14</v>
      </c>
      <c r="E5" s="1">
        <v>2019.0</v>
      </c>
      <c r="F5" s="1" t="s">
        <v>17</v>
      </c>
      <c r="G5" s="1" t="s">
        <v>17</v>
      </c>
      <c r="H5" s="1" t="s">
        <v>17</v>
      </c>
      <c r="I5" s="1" t="s">
        <v>17</v>
      </c>
      <c r="J5" s="1">
        <v>0.0</v>
      </c>
      <c r="K5" s="1">
        <v>1.0</v>
      </c>
      <c r="L5" s="1">
        <v>0.0</v>
      </c>
      <c r="M5" s="1">
        <v>0.0</v>
      </c>
    </row>
    <row r="6">
      <c r="A6" s="2">
        <v>5.0</v>
      </c>
      <c r="B6" s="2">
        <v>5.0</v>
      </c>
      <c r="C6" s="2" t="s">
        <v>17</v>
      </c>
      <c r="D6" s="2" t="s">
        <v>14</v>
      </c>
      <c r="E6" s="1">
        <v>2019.0</v>
      </c>
      <c r="F6" s="1" t="s">
        <v>17</v>
      </c>
      <c r="G6" s="1" t="s">
        <v>17</v>
      </c>
      <c r="H6" s="1" t="s">
        <v>17</v>
      </c>
      <c r="I6" s="1" t="s">
        <v>17</v>
      </c>
      <c r="J6" s="1">
        <v>0.0</v>
      </c>
      <c r="K6" s="1">
        <v>1.0</v>
      </c>
      <c r="L6" s="1">
        <v>0.0</v>
      </c>
      <c r="M6" s="1">
        <v>0.0</v>
      </c>
    </row>
    <row r="7">
      <c r="A7" s="2">
        <v>6.0</v>
      </c>
      <c r="B7" s="2">
        <v>6.0</v>
      </c>
      <c r="C7" s="2" t="s">
        <v>15</v>
      </c>
      <c r="D7" s="2" t="s">
        <v>14</v>
      </c>
      <c r="E7" s="1">
        <v>2019.0</v>
      </c>
      <c r="F7" s="1" t="s">
        <v>15</v>
      </c>
      <c r="G7" s="1" t="s">
        <v>15</v>
      </c>
      <c r="H7" s="1" t="s">
        <v>15</v>
      </c>
      <c r="I7" s="1" t="s">
        <v>15</v>
      </c>
      <c r="J7" s="1">
        <v>0.0</v>
      </c>
      <c r="K7" s="1">
        <v>1.0</v>
      </c>
      <c r="L7" s="1">
        <v>0.0</v>
      </c>
      <c r="M7" s="1">
        <v>0.0</v>
      </c>
    </row>
    <row r="8">
      <c r="A8" s="2">
        <v>7.0</v>
      </c>
      <c r="B8" s="2">
        <v>7.0</v>
      </c>
      <c r="C8" s="2" t="s">
        <v>16</v>
      </c>
      <c r="D8" s="2" t="s">
        <v>14</v>
      </c>
      <c r="E8" s="1">
        <v>2019.0</v>
      </c>
      <c r="F8" s="1" t="s">
        <v>16</v>
      </c>
      <c r="G8" s="1" t="s">
        <v>16</v>
      </c>
      <c r="H8" s="1" t="s">
        <v>16</v>
      </c>
      <c r="I8" s="1" t="s">
        <v>16</v>
      </c>
      <c r="J8" s="1">
        <v>0.0</v>
      </c>
      <c r="K8" s="1">
        <v>1.0</v>
      </c>
      <c r="L8" s="1">
        <v>0.0</v>
      </c>
      <c r="M8" s="1">
        <v>0.0</v>
      </c>
    </row>
    <row r="9">
      <c r="A9" s="2">
        <v>8.0</v>
      </c>
      <c r="B9" s="2">
        <v>8.0</v>
      </c>
      <c r="C9" s="2" t="s">
        <v>13</v>
      </c>
      <c r="D9" s="2" t="s">
        <v>14</v>
      </c>
      <c r="E9" s="1">
        <v>2019.0</v>
      </c>
      <c r="F9" s="1" t="s">
        <v>13</v>
      </c>
      <c r="G9" s="1" t="s">
        <v>13</v>
      </c>
      <c r="H9" s="1" t="s">
        <v>13</v>
      </c>
      <c r="I9" s="1" t="s">
        <v>13</v>
      </c>
      <c r="J9" s="1">
        <v>0.0</v>
      </c>
      <c r="K9" s="1">
        <v>1.0</v>
      </c>
      <c r="L9" s="1">
        <v>0.0</v>
      </c>
      <c r="M9" s="1">
        <v>0.0</v>
      </c>
    </row>
    <row r="10">
      <c r="A10" s="2">
        <v>9.0</v>
      </c>
      <c r="B10" s="2">
        <v>9.0</v>
      </c>
      <c r="C10" s="2" t="s">
        <v>13</v>
      </c>
      <c r="D10" s="2" t="s">
        <v>14</v>
      </c>
      <c r="E10" s="1">
        <v>2019.0</v>
      </c>
      <c r="F10" s="1" t="s">
        <v>13</v>
      </c>
      <c r="G10" s="1" t="s">
        <v>18</v>
      </c>
      <c r="H10" s="1" t="s">
        <v>13</v>
      </c>
      <c r="I10" s="1" t="s">
        <v>13</v>
      </c>
      <c r="J10" s="1">
        <v>0.0</v>
      </c>
      <c r="K10" s="1">
        <v>1.0</v>
      </c>
      <c r="L10" s="1">
        <v>0.0</v>
      </c>
      <c r="M10" s="1">
        <v>0.0</v>
      </c>
    </row>
    <row r="11">
      <c r="A11" s="2">
        <v>10.0</v>
      </c>
      <c r="B11" s="2">
        <v>10.0</v>
      </c>
      <c r="C11" s="2" t="s">
        <v>18</v>
      </c>
      <c r="D11" s="2" t="s">
        <v>14</v>
      </c>
      <c r="E11" s="1">
        <v>2019.0</v>
      </c>
      <c r="F11" s="1" t="s">
        <v>18</v>
      </c>
      <c r="G11" s="1" t="s">
        <v>18</v>
      </c>
      <c r="H11" s="1" t="s">
        <v>18</v>
      </c>
      <c r="I11" s="1" t="s">
        <v>18</v>
      </c>
      <c r="J11" s="1">
        <v>0.0</v>
      </c>
      <c r="K11" s="1">
        <v>1.0</v>
      </c>
      <c r="L11" s="1">
        <v>0.0</v>
      </c>
      <c r="M11" s="1">
        <v>0.0</v>
      </c>
    </row>
    <row r="12">
      <c r="A12" s="2">
        <v>11.0</v>
      </c>
      <c r="B12" s="2">
        <v>11.0</v>
      </c>
      <c r="C12" s="2" t="s">
        <v>18</v>
      </c>
      <c r="D12" s="2" t="s">
        <v>14</v>
      </c>
      <c r="E12" s="1">
        <v>2019.0</v>
      </c>
      <c r="F12" s="1" t="s">
        <v>18</v>
      </c>
      <c r="G12" s="1" t="s">
        <v>18</v>
      </c>
      <c r="H12" s="1" t="s">
        <v>18</v>
      </c>
      <c r="I12" s="1" t="s">
        <v>18</v>
      </c>
      <c r="J12" s="1">
        <v>0.0</v>
      </c>
      <c r="K12" s="1">
        <v>0.0</v>
      </c>
      <c r="L12" s="1">
        <v>0.0</v>
      </c>
      <c r="M12" s="1">
        <v>0.0</v>
      </c>
    </row>
    <row r="13">
      <c r="A13" s="2">
        <v>12.0</v>
      </c>
      <c r="B13" s="2">
        <v>12.0</v>
      </c>
      <c r="C13" s="2" t="s">
        <v>15</v>
      </c>
      <c r="D13" s="2" t="s">
        <v>14</v>
      </c>
      <c r="E13" s="1">
        <v>2019.0</v>
      </c>
      <c r="F13" s="1" t="s">
        <v>15</v>
      </c>
      <c r="G13" s="1" t="s">
        <v>15</v>
      </c>
      <c r="H13" s="1" t="s">
        <v>15</v>
      </c>
      <c r="I13" s="1" t="s">
        <v>15</v>
      </c>
      <c r="J13" s="1">
        <v>0.0</v>
      </c>
      <c r="K13" s="1">
        <v>0.0</v>
      </c>
      <c r="L13" s="1">
        <v>0.0</v>
      </c>
      <c r="M13" s="1">
        <v>0.0</v>
      </c>
    </row>
    <row r="14">
      <c r="A14" s="2">
        <v>13.0</v>
      </c>
      <c r="B14" s="2">
        <v>13.0</v>
      </c>
      <c r="C14" s="2" t="s">
        <v>18</v>
      </c>
      <c r="D14" s="2" t="s">
        <v>14</v>
      </c>
      <c r="E14" s="1">
        <v>2019.0</v>
      </c>
      <c r="F14" s="1" t="s">
        <v>18</v>
      </c>
      <c r="G14" s="1" t="s">
        <v>18</v>
      </c>
      <c r="H14" s="1" t="s">
        <v>18</v>
      </c>
      <c r="I14" s="1" t="s">
        <v>18</v>
      </c>
      <c r="J14" s="1">
        <v>0.0</v>
      </c>
      <c r="K14" s="1">
        <v>0.0</v>
      </c>
      <c r="L14" s="1">
        <v>0.0</v>
      </c>
      <c r="M14" s="1">
        <v>0.0</v>
      </c>
    </row>
    <row r="15">
      <c r="A15" s="2">
        <v>14.0</v>
      </c>
      <c r="B15" s="2">
        <v>14.0</v>
      </c>
      <c r="C15" s="2" t="s">
        <v>17</v>
      </c>
      <c r="D15" s="2" t="s">
        <v>14</v>
      </c>
      <c r="E15" s="1">
        <v>2019.0</v>
      </c>
      <c r="F15" s="1" t="s">
        <v>16</v>
      </c>
      <c r="G15" s="1" t="s">
        <v>13</v>
      </c>
      <c r="H15" s="1" t="s">
        <v>17</v>
      </c>
      <c r="I15" s="1" t="s">
        <v>17</v>
      </c>
      <c r="J15" s="1">
        <v>0.0</v>
      </c>
      <c r="K15" s="1">
        <v>0.0</v>
      </c>
      <c r="L15" s="1">
        <v>0.0</v>
      </c>
      <c r="M15" s="1">
        <v>0.0</v>
      </c>
    </row>
    <row r="16">
      <c r="A16" s="2">
        <v>15.0</v>
      </c>
      <c r="B16" s="2">
        <v>15.0</v>
      </c>
      <c r="C16" s="2" t="s">
        <v>15</v>
      </c>
      <c r="D16" s="2" t="s">
        <v>14</v>
      </c>
      <c r="E16" s="1">
        <v>2019.0</v>
      </c>
      <c r="F16" s="1" t="s">
        <v>15</v>
      </c>
      <c r="G16" s="1" t="s">
        <v>19</v>
      </c>
      <c r="H16" s="1" t="s">
        <v>15</v>
      </c>
      <c r="I16" s="1" t="s">
        <v>15</v>
      </c>
      <c r="J16" s="1">
        <v>0.0</v>
      </c>
      <c r="K16" s="1">
        <v>1.0</v>
      </c>
      <c r="L16" s="1">
        <v>0.0</v>
      </c>
      <c r="M16" s="1">
        <v>0.0</v>
      </c>
    </row>
    <row r="17">
      <c r="A17" s="2">
        <v>16.0</v>
      </c>
      <c r="B17" s="2">
        <v>16.0</v>
      </c>
      <c r="C17" s="2" t="s">
        <v>15</v>
      </c>
      <c r="D17" s="2" t="s">
        <v>14</v>
      </c>
      <c r="E17" s="1">
        <v>2019.0</v>
      </c>
      <c r="F17" s="1" t="s">
        <v>15</v>
      </c>
      <c r="G17" s="1" t="s">
        <v>15</v>
      </c>
      <c r="H17" s="1" t="s">
        <v>15</v>
      </c>
      <c r="I17" s="1" t="s">
        <v>15</v>
      </c>
      <c r="J17" s="1">
        <v>0.0</v>
      </c>
      <c r="K17" s="1">
        <v>0.0</v>
      </c>
      <c r="L17" s="1">
        <v>0.0</v>
      </c>
      <c r="M17" s="1">
        <v>0.0</v>
      </c>
    </row>
    <row r="18">
      <c r="A18" s="2">
        <v>17.0</v>
      </c>
      <c r="B18" s="2">
        <v>17.0</v>
      </c>
      <c r="C18" s="2" t="s">
        <v>18</v>
      </c>
      <c r="D18" s="2" t="s">
        <v>14</v>
      </c>
      <c r="E18" s="1">
        <v>2019.0</v>
      </c>
      <c r="F18" s="1" t="s">
        <v>18</v>
      </c>
      <c r="G18" s="1" t="s">
        <v>18</v>
      </c>
      <c r="H18" s="1" t="s">
        <v>18</v>
      </c>
      <c r="I18" s="1" t="s">
        <v>18</v>
      </c>
      <c r="J18" s="1">
        <v>0.0</v>
      </c>
      <c r="K18" s="1">
        <v>0.0</v>
      </c>
      <c r="L18" s="1">
        <v>0.0</v>
      </c>
      <c r="M18" s="1">
        <v>0.0</v>
      </c>
    </row>
    <row r="19">
      <c r="A19" s="2">
        <v>18.0</v>
      </c>
      <c r="B19" s="2">
        <v>18.0</v>
      </c>
      <c r="C19" s="2" t="s">
        <v>13</v>
      </c>
      <c r="D19" s="2" t="s">
        <v>14</v>
      </c>
      <c r="E19" s="1">
        <v>2019.0</v>
      </c>
      <c r="F19" s="1" t="s">
        <v>13</v>
      </c>
      <c r="G19" s="1" t="s">
        <v>13</v>
      </c>
      <c r="H19" s="1" t="s">
        <v>13</v>
      </c>
      <c r="I19" s="1" t="s">
        <v>13</v>
      </c>
      <c r="J19" s="1">
        <v>0.0</v>
      </c>
      <c r="K19" s="1">
        <v>1.0</v>
      </c>
      <c r="L19" s="1">
        <v>1.0</v>
      </c>
      <c r="M19" s="1">
        <v>0.0</v>
      </c>
    </row>
    <row r="20">
      <c r="A20" s="2">
        <v>19.0</v>
      </c>
      <c r="B20" s="2">
        <v>19.0</v>
      </c>
      <c r="C20" s="2" t="s">
        <v>16</v>
      </c>
      <c r="D20" s="2" t="s">
        <v>14</v>
      </c>
      <c r="E20" s="1">
        <v>2019.0</v>
      </c>
      <c r="F20" s="1" t="s">
        <v>16</v>
      </c>
      <c r="G20" s="1" t="s">
        <v>16</v>
      </c>
      <c r="H20" s="1" t="s">
        <v>16</v>
      </c>
      <c r="I20" s="1" t="s">
        <v>16</v>
      </c>
      <c r="J20" s="1">
        <v>0.0</v>
      </c>
      <c r="K20" s="1">
        <v>0.0</v>
      </c>
      <c r="L20" s="1">
        <v>0.0</v>
      </c>
      <c r="M20" s="1">
        <v>0.0</v>
      </c>
    </row>
    <row r="21">
      <c r="A21" s="2">
        <v>20.0</v>
      </c>
      <c r="B21" s="2">
        <v>20.0</v>
      </c>
      <c r="C21" s="2" t="s">
        <v>17</v>
      </c>
      <c r="D21" s="2" t="s">
        <v>14</v>
      </c>
      <c r="E21" s="1">
        <v>2019.0</v>
      </c>
      <c r="F21" s="1" t="s">
        <v>17</v>
      </c>
      <c r="G21" s="1" t="s">
        <v>17</v>
      </c>
      <c r="H21" s="1" t="s">
        <v>17</v>
      </c>
      <c r="I21" s="1" t="s">
        <v>17</v>
      </c>
      <c r="J21" s="1">
        <v>0.0</v>
      </c>
      <c r="K21" s="1">
        <v>1.0</v>
      </c>
      <c r="L21" s="1">
        <v>1.0</v>
      </c>
      <c r="M21" s="1">
        <v>1.0</v>
      </c>
    </row>
    <row r="22">
      <c r="A22" s="2">
        <v>21.0</v>
      </c>
      <c r="B22" s="2">
        <v>21.0</v>
      </c>
      <c r="C22" s="2" t="s">
        <v>13</v>
      </c>
      <c r="D22" s="2" t="s">
        <v>20</v>
      </c>
      <c r="E22" s="1">
        <v>2019.0</v>
      </c>
      <c r="F22" s="1" t="s">
        <v>13</v>
      </c>
      <c r="G22" s="1" t="s">
        <v>13</v>
      </c>
      <c r="H22" s="1" t="s">
        <v>13</v>
      </c>
      <c r="I22" s="1" t="s">
        <v>13</v>
      </c>
      <c r="J22" s="1">
        <v>0.0</v>
      </c>
      <c r="K22" s="1">
        <v>1.0</v>
      </c>
      <c r="L22" s="1">
        <v>0.0</v>
      </c>
      <c r="M22" s="1">
        <v>0.0</v>
      </c>
    </row>
    <row r="23">
      <c r="A23" s="2">
        <v>22.0</v>
      </c>
      <c r="B23" s="2">
        <v>22.0</v>
      </c>
      <c r="C23" s="2" t="s">
        <v>16</v>
      </c>
      <c r="D23" s="2" t="s">
        <v>20</v>
      </c>
      <c r="E23" s="1">
        <v>2019.0</v>
      </c>
      <c r="F23" s="1" t="s">
        <v>16</v>
      </c>
      <c r="G23" s="1" t="s">
        <v>16</v>
      </c>
      <c r="H23" s="1" t="s">
        <v>16</v>
      </c>
      <c r="I23" s="1" t="s">
        <v>16</v>
      </c>
      <c r="J23" s="1">
        <v>0.0</v>
      </c>
      <c r="K23" s="1">
        <v>1.0</v>
      </c>
      <c r="L23" s="1">
        <v>0.0</v>
      </c>
      <c r="M23" s="1">
        <v>0.0</v>
      </c>
    </row>
    <row r="24">
      <c r="A24" s="2">
        <v>23.0</v>
      </c>
      <c r="B24" s="2">
        <v>23.0</v>
      </c>
      <c r="C24" s="2" t="s">
        <v>15</v>
      </c>
      <c r="D24" s="2" t="s">
        <v>20</v>
      </c>
      <c r="E24" s="1">
        <v>2019.0</v>
      </c>
      <c r="F24" s="1" t="s">
        <v>15</v>
      </c>
      <c r="G24" s="1" t="s">
        <v>15</v>
      </c>
      <c r="H24" s="1" t="s">
        <v>15</v>
      </c>
      <c r="I24" s="1" t="s">
        <v>15</v>
      </c>
      <c r="J24" s="1">
        <v>0.0</v>
      </c>
      <c r="K24" s="1">
        <v>0.0</v>
      </c>
      <c r="L24" s="1">
        <v>0.0</v>
      </c>
      <c r="M24" s="1">
        <v>0.0</v>
      </c>
    </row>
    <row r="25">
      <c r="A25" s="2">
        <v>24.0</v>
      </c>
      <c r="B25" s="2">
        <v>24.0</v>
      </c>
      <c r="C25" s="2" t="s">
        <v>18</v>
      </c>
      <c r="D25" s="2" t="s">
        <v>20</v>
      </c>
      <c r="E25" s="1">
        <v>2019.0</v>
      </c>
      <c r="F25" s="1" t="s">
        <v>18</v>
      </c>
      <c r="G25" s="1" t="s">
        <v>18</v>
      </c>
      <c r="H25" s="1" t="s">
        <v>18</v>
      </c>
      <c r="I25" s="1" t="s">
        <v>18</v>
      </c>
      <c r="J25" s="1">
        <v>0.0</v>
      </c>
      <c r="K25" s="1">
        <v>0.0</v>
      </c>
      <c r="L25" s="1">
        <v>0.0</v>
      </c>
      <c r="M25" s="1">
        <v>0.0</v>
      </c>
    </row>
    <row r="26">
      <c r="A26" s="2">
        <v>25.0</v>
      </c>
      <c r="B26" s="2">
        <v>25.0</v>
      </c>
      <c r="C26" s="2" t="s">
        <v>15</v>
      </c>
      <c r="D26" s="2" t="s">
        <v>20</v>
      </c>
      <c r="E26" s="1">
        <v>2019.0</v>
      </c>
      <c r="F26" s="1" t="s">
        <v>15</v>
      </c>
      <c r="G26" s="1" t="s">
        <v>15</v>
      </c>
      <c r="H26" s="1" t="s">
        <v>15</v>
      </c>
      <c r="I26" s="1" t="s">
        <v>15</v>
      </c>
      <c r="J26" s="1">
        <v>0.0</v>
      </c>
      <c r="K26" s="1">
        <v>0.0</v>
      </c>
      <c r="L26" s="1">
        <v>0.0</v>
      </c>
      <c r="M26" s="1">
        <v>1.0</v>
      </c>
    </row>
    <row r="27">
      <c r="A27" s="2">
        <v>26.0</v>
      </c>
      <c r="B27" s="2">
        <v>26.0</v>
      </c>
      <c r="C27" s="2" t="s">
        <v>16</v>
      </c>
      <c r="D27" s="2" t="s">
        <v>20</v>
      </c>
      <c r="E27" s="1">
        <v>2019.0</v>
      </c>
      <c r="F27" s="1" t="s">
        <v>16</v>
      </c>
      <c r="G27" s="1" t="s">
        <v>16</v>
      </c>
      <c r="H27" s="1" t="s">
        <v>16</v>
      </c>
      <c r="I27" s="1" t="s">
        <v>16</v>
      </c>
      <c r="J27" s="1">
        <v>0.0</v>
      </c>
      <c r="K27" s="1">
        <v>0.0</v>
      </c>
      <c r="L27" s="1">
        <v>0.0</v>
      </c>
      <c r="M27" s="1">
        <v>0.0</v>
      </c>
    </row>
    <row r="28">
      <c r="A28" s="2">
        <v>27.0</v>
      </c>
      <c r="B28" s="2">
        <v>27.0</v>
      </c>
      <c r="C28" s="2" t="s">
        <v>13</v>
      </c>
      <c r="D28" s="2" t="s">
        <v>20</v>
      </c>
      <c r="E28" s="1">
        <v>2019.0</v>
      </c>
      <c r="F28" s="1" t="s">
        <v>13</v>
      </c>
      <c r="G28" s="1" t="s">
        <v>13</v>
      </c>
      <c r="H28" s="1" t="s">
        <v>13</v>
      </c>
      <c r="I28" s="1" t="s">
        <v>13</v>
      </c>
      <c r="J28" s="1">
        <v>0.0</v>
      </c>
      <c r="K28" s="1">
        <v>0.0</v>
      </c>
      <c r="L28" s="1">
        <v>0.0</v>
      </c>
      <c r="M28" s="1">
        <v>1.0</v>
      </c>
    </row>
    <row r="29">
      <c r="A29" s="5">
        <v>28.0</v>
      </c>
      <c r="B29" s="5">
        <v>28.0</v>
      </c>
      <c r="C29" s="5" t="s">
        <v>21</v>
      </c>
      <c r="D29" s="5" t="s">
        <v>20</v>
      </c>
      <c r="E29" s="6">
        <v>2019.0</v>
      </c>
      <c r="F29" s="6"/>
      <c r="G29" s="6"/>
      <c r="H29" s="6"/>
      <c r="I29" s="6"/>
      <c r="J29" s="6" t="s">
        <v>21</v>
      </c>
      <c r="K29" s="6" t="s">
        <v>21</v>
      </c>
      <c r="L29" s="6" t="s">
        <v>21</v>
      </c>
      <c r="M29" s="6" t="s">
        <v>21</v>
      </c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</row>
    <row r="30">
      <c r="A30" s="2">
        <v>29.0</v>
      </c>
      <c r="B30" s="2">
        <v>29.0</v>
      </c>
      <c r="C30" s="2" t="s">
        <v>17</v>
      </c>
      <c r="D30" s="2" t="s">
        <v>20</v>
      </c>
      <c r="E30" s="1">
        <v>2019.0</v>
      </c>
      <c r="F30" s="1" t="s">
        <v>17</v>
      </c>
      <c r="G30" s="1" t="s">
        <v>17</v>
      </c>
      <c r="H30" s="1" t="s">
        <v>17</v>
      </c>
      <c r="I30" s="1" t="s">
        <v>17</v>
      </c>
      <c r="J30" s="1">
        <v>0.0</v>
      </c>
      <c r="K30" s="1">
        <v>0.0</v>
      </c>
      <c r="L30" s="1">
        <v>0.0</v>
      </c>
      <c r="M30" s="1">
        <v>0.0</v>
      </c>
    </row>
    <row r="31">
      <c r="A31" s="2">
        <v>30.0</v>
      </c>
      <c r="B31" s="2">
        <v>30.0</v>
      </c>
      <c r="C31" s="2" t="s">
        <v>16</v>
      </c>
      <c r="D31" s="2" t="s">
        <v>20</v>
      </c>
      <c r="E31" s="1">
        <v>2019.0</v>
      </c>
      <c r="F31" s="1" t="s">
        <v>16</v>
      </c>
      <c r="G31" s="1" t="s">
        <v>16</v>
      </c>
      <c r="H31" s="1" t="s">
        <v>16</v>
      </c>
      <c r="I31" s="1" t="s">
        <v>16</v>
      </c>
      <c r="J31" s="1">
        <v>0.0</v>
      </c>
      <c r="K31" s="1">
        <v>0.0</v>
      </c>
      <c r="L31" s="1">
        <v>0.0</v>
      </c>
      <c r="M31" s="1">
        <v>0.0</v>
      </c>
    </row>
    <row r="32">
      <c r="A32" s="2">
        <v>31.0</v>
      </c>
      <c r="B32" s="2">
        <v>31.0</v>
      </c>
      <c r="C32" s="2" t="s">
        <v>18</v>
      </c>
      <c r="D32" s="2" t="s">
        <v>20</v>
      </c>
      <c r="E32" s="1">
        <v>2019.0</v>
      </c>
      <c r="F32" s="1" t="s">
        <v>18</v>
      </c>
      <c r="G32" s="1" t="s">
        <v>18</v>
      </c>
      <c r="H32" s="1" t="s">
        <v>18</v>
      </c>
      <c r="I32" s="1" t="s">
        <v>18</v>
      </c>
      <c r="J32" s="1">
        <v>0.0</v>
      </c>
      <c r="K32" s="1">
        <v>0.0</v>
      </c>
      <c r="L32" s="1">
        <v>0.0</v>
      </c>
      <c r="M32" s="1">
        <v>1.0</v>
      </c>
    </row>
    <row r="33">
      <c r="A33" s="2">
        <v>32.0</v>
      </c>
      <c r="B33" s="2">
        <v>32.0</v>
      </c>
      <c r="C33" s="2" t="s">
        <v>16</v>
      </c>
      <c r="D33" s="2" t="s">
        <v>20</v>
      </c>
      <c r="E33" s="1">
        <v>2019.0</v>
      </c>
      <c r="F33" s="1" t="s">
        <v>16</v>
      </c>
      <c r="G33" s="1" t="s">
        <v>16</v>
      </c>
      <c r="H33" s="1" t="s">
        <v>16</v>
      </c>
      <c r="I33" s="1" t="s">
        <v>16</v>
      </c>
      <c r="J33" s="1">
        <v>0.0</v>
      </c>
      <c r="K33" s="1">
        <v>0.0</v>
      </c>
      <c r="L33" s="1">
        <v>0.0</v>
      </c>
      <c r="M33" s="1">
        <v>0.0</v>
      </c>
    </row>
    <row r="34">
      <c r="A34" s="2">
        <v>33.0</v>
      </c>
      <c r="B34" s="2">
        <v>33.0</v>
      </c>
      <c r="C34" s="2" t="s">
        <v>13</v>
      </c>
      <c r="D34" s="2" t="s">
        <v>20</v>
      </c>
      <c r="E34" s="1">
        <v>2019.0</v>
      </c>
      <c r="F34" s="1" t="s">
        <v>13</v>
      </c>
      <c r="G34" s="1" t="s">
        <v>13</v>
      </c>
      <c r="H34" s="1" t="s">
        <v>13</v>
      </c>
      <c r="I34" s="1" t="s">
        <v>13</v>
      </c>
      <c r="J34" s="1">
        <v>0.0</v>
      </c>
      <c r="K34" s="1">
        <v>0.0</v>
      </c>
      <c r="L34" s="1">
        <v>0.0</v>
      </c>
      <c r="M34" s="1">
        <v>0.0</v>
      </c>
    </row>
    <row r="35">
      <c r="A35" s="2">
        <v>34.0</v>
      </c>
      <c r="B35" s="2">
        <v>34.0</v>
      </c>
      <c r="C35" s="2" t="s">
        <v>15</v>
      </c>
      <c r="D35" s="2" t="s">
        <v>20</v>
      </c>
      <c r="E35" s="1">
        <v>2019.0</v>
      </c>
      <c r="F35" s="1" t="s">
        <v>17</v>
      </c>
      <c r="G35" s="1" t="s">
        <v>15</v>
      </c>
      <c r="H35" s="1" t="s">
        <v>15</v>
      </c>
      <c r="I35" s="1" t="s">
        <v>17</v>
      </c>
      <c r="J35" s="1">
        <v>0.0</v>
      </c>
      <c r="K35" s="1">
        <v>0.0</v>
      </c>
      <c r="L35" s="1">
        <v>0.0</v>
      </c>
      <c r="M35" s="1">
        <v>0.0</v>
      </c>
    </row>
    <row r="36">
      <c r="A36" s="2">
        <v>35.0</v>
      </c>
      <c r="B36" s="2">
        <v>35.0</v>
      </c>
      <c r="C36" s="2" t="s">
        <v>16</v>
      </c>
      <c r="D36" s="2" t="s">
        <v>20</v>
      </c>
      <c r="E36" s="1">
        <v>2019.0</v>
      </c>
      <c r="F36" s="1" t="s">
        <v>16</v>
      </c>
      <c r="G36" s="1" t="s">
        <v>16</v>
      </c>
      <c r="H36" s="1" t="s">
        <v>16</v>
      </c>
      <c r="I36" s="1" t="s">
        <v>16</v>
      </c>
      <c r="J36" s="1">
        <v>0.0</v>
      </c>
      <c r="K36" s="1">
        <v>0.0</v>
      </c>
      <c r="L36" s="1">
        <v>0.0</v>
      </c>
      <c r="M36" s="1">
        <v>0.0</v>
      </c>
    </row>
    <row r="37">
      <c r="A37" s="2">
        <v>36.0</v>
      </c>
      <c r="B37" s="2">
        <v>36.0</v>
      </c>
      <c r="C37" s="2" t="s">
        <v>18</v>
      </c>
      <c r="D37" s="2" t="s">
        <v>20</v>
      </c>
      <c r="E37" s="1">
        <v>2019.0</v>
      </c>
      <c r="F37" s="1" t="s">
        <v>18</v>
      </c>
      <c r="G37" s="1" t="s">
        <v>18</v>
      </c>
      <c r="H37" s="1" t="s">
        <v>18</v>
      </c>
      <c r="I37" s="1" t="s">
        <v>18</v>
      </c>
      <c r="J37" s="1">
        <v>0.0</v>
      </c>
      <c r="K37" s="1">
        <v>0.0</v>
      </c>
      <c r="L37" s="1">
        <v>0.0</v>
      </c>
      <c r="M37" s="1">
        <v>0.0</v>
      </c>
    </row>
    <row r="38">
      <c r="A38" s="2">
        <v>37.0</v>
      </c>
      <c r="B38" s="2">
        <v>37.0</v>
      </c>
      <c r="C38" s="2" t="s">
        <v>15</v>
      </c>
      <c r="D38" s="2" t="s">
        <v>20</v>
      </c>
      <c r="E38" s="1">
        <v>2019.0</v>
      </c>
      <c r="F38" s="1" t="s">
        <v>15</v>
      </c>
      <c r="G38" s="1" t="s">
        <v>15</v>
      </c>
      <c r="H38" s="1" t="s">
        <v>15</v>
      </c>
      <c r="I38" s="1" t="s">
        <v>15</v>
      </c>
      <c r="J38" s="1">
        <v>0.0</v>
      </c>
      <c r="K38" s="1">
        <v>0.0</v>
      </c>
      <c r="L38" s="1">
        <v>0.0</v>
      </c>
      <c r="M38" s="1">
        <v>0.0</v>
      </c>
    </row>
    <row r="39">
      <c r="A39" s="2">
        <v>38.0</v>
      </c>
      <c r="B39" s="2">
        <v>38.0</v>
      </c>
      <c r="C39" s="2" t="s">
        <v>17</v>
      </c>
      <c r="D39" s="2" t="s">
        <v>20</v>
      </c>
      <c r="E39" s="1">
        <v>2019.0</v>
      </c>
      <c r="F39" s="1" t="s">
        <v>17</v>
      </c>
      <c r="G39" s="1" t="s">
        <v>17</v>
      </c>
      <c r="H39" s="1" t="s">
        <v>17</v>
      </c>
      <c r="I39" s="1" t="s">
        <v>17</v>
      </c>
      <c r="J39" s="1">
        <v>0.0</v>
      </c>
      <c r="K39" s="1">
        <v>0.0</v>
      </c>
      <c r="L39" s="1">
        <v>0.0</v>
      </c>
      <c r="M39" s="1">
        <v>0.0</v>
      </c>
    </row>
    <row r="40">
      <c r="A40" s="2">
        <v>39.0</v>
      </c>
      <c r="B40" s="2">
        <v>39.0</v>
      </c>
      <c r="C40" s="2" t="s">
        <v>18</v>
      </c>
      <c r="D40" s="2" t="s">
        <v>20</v>
      </c>
      <c r="E40" s="1">
        <v>2019.0</v>
      </c>
      <c r="F40" s="1" t="s">
        <v>18</v>
      </c>
      <c r="G40" s="1" t="s">
        <v>18</v>
      </c>
      <c r="H40" s="1" t="s">
        <v>18</v>
      </c>
      <c r="I40" s="1" t="s">
        <v>18</v>
      </c>
      <c r="J40" s="1">
        <v>0.0</v>
      </c>
      <c r="K40" s="1">
        <v>1.0</v>
      </c>
      <c r="L40" s="1">
        <v>0.0</v>
      </c>
      <c r="M40" s="1">
        <v>0.0</v>
      </c>
    </row>
    <row r="41">
      <c r="A41" s="2">
        <v>40.0</v>
      </c>
      <c r="B41" s="2">
        <v>40.0</v>
      </c>
      <c r="C41" s="2" t="s">
        <v>17</v>
      </c>
      <c r="D41" s="2" t="s">
        <v>20</v>
      </c>
      <c r="E41" s="1">
        <v>2019.0</v>
      </c>
      <c r="F41" s="1" t="s">
        <v>17</v>
      </c>
      <c r="G41" s="1" t="s">
        <v>17</v>
      </c>
      <c r="H41" s="1" t="s">
        <v>17</v>
      </c>
      <c r="I41" s="1" t="s">
        <v>17</v>
      </c>
      <c r="J41" s="1">
        <v>0.0</v>
      </c>
      <c r="K41" s="1">
        <v>0.0</v>
      </c>
      <c r="L41" s="1">
        <v>0.0</v>
      </c>
      <c r="M41" s="1">
        <v>0.0</v>
      </c>
    </row>
    <row r="42">
      <c r="A42" s="2">
        <v>41.0</v>
      </c>
      <c r="B42" s="2">
        <v>41.0</v>
      </c>
      <c r="C42" s="2" t="s">
        <v>15</v>
      </c>
      <c r="D42" s="2" t="s">
        <v>20</v>
      </c>
      <c r="E42" s="1">
        <v>2019.0</v>
      </c>
      <c r="F42" s="1" t="s">
        <v>15</v>
      </c>
      <c r="G42" s="1" t="s">
        <v>16</v>
      </c>
      <c r="H42" s="1" t="s">
        <v>16</v>
      </c>
      <c r="I42" s="1" t="s">
        <v>16</v>
      </c>
      <c r="J42" s="1">
        <v>1.0</v>
      </c>
      <c r="K42" s="1">
        <v>0.0</v>
      </c>
      <c r="L42" s="1">
        <v>0.0</v>
      </c>
      <c r="M42" s="1">
        <v>0.0</v>
      </c>
    </row>
    <row r="43">
      <c r="A43" s="2">
        <v>42.0</v>
      </c>
      <c r="B43" s="2">
        <v>42.0</v>
      </c>
      <c r="C43" s="2" t="s">
        <v>13</v>
      </c>
      <c r="D43" s="2" t="s">
        <v>20</v>
      </c>
      <c r="E43" s="1">
        <v>2019.0</v>
      </c>
      <c r="F43" s="1" t="s">
        <v>15</v>
      </c>
      <c r="G43" s="1" t="s">
        <v>17</v>
      </c>
      <c r="H43" s="1" t="s">
        <v>15</v>
      </c>
      <c r="I43" s="1" t="s">
        <v>13</v>
      </c>
      <c r="J43" s="1">
        <v>1.0</v>
      </c>
      <c r="K43" s="1">
        <v>0.0</v>
      </c>
      <c r="L43" s="1">
        <v>0.0</v>
      </c>
      <c r="M43" s="1">
        <v>0.0</v>
      </c>
    </row>
    <row r="44">
      <c r="A44" s="2">
        <v>43.0</v>
      </c>
      <c r="B44" s="2">
        <v>43.0</v>
      </c>
      <c r="C44" s="2" t="s">
        <v>16</v>
      </c>
      <c r="D44" s="2" t="s">
        <v>20</v>
      </c>
      <c r="E44" s="1">
        <v>2019.0</v>
      </c>
      <c r="F44" s="1" t="s">
        <v>16</v>
      </c>
      <c r="G44" s="1" t="s">
        <v>16</v>
      </c>
      <c r="H44" s="1" t="s">
        <v>16</v>
      </c>
      <c r="I44" s="1" t="s">
        <v>16</v>
      </c>
      <c r="J44" s="1">
        <v>0.0</v>
      </c>
      <c r="K44" s="1">
        <v>0.0</v>
      </c>
      <c r="L44" s="1">
        <v>0.0</v>
      </c>
      <c r="M44" s="1">
        <v>0.0</v>
      </c>
    </row>
    <row r="45">
      <c r="A45" s="2">
        <v>44.0</v>
      </c>
      <c r="B45" s="2">
        <v>44.0</v>
      </c>
      <c r="C45" s="2" t="s">
        <v>18</v>
      </c>
      <c r="D45" s="2" t="s">
        <v>20</v>
      </c>
      <c r="E45" s="1">
        <v>2019.0</v>
      </c>
      <c r="F45" s="1" t="s">
        <v>15</v>
      </c>
      <c r="G45" s="1" t="s">
        <v>16</v>
      </c>
      <c r="H45" s="1" t="s">
        <v>15</v>
      </c>
      <c r="I45" s="1" t="s">
        <v>15</v>
      </c>
      <c r="J45" s="1">
        <v>0.0</v>
      </c>
      <c r="K45" s="1">
        <v>0.0</v>
      </c>
      <c r="L45" s="1">
        <v>0.0</v>
      </c>
      <c r="M45" s="1">
        <v>0.0</v>
      </c>
    </row>
    <row r="46">
      <c r="A46" s="2">
        <v>45.0</v>
      </c>
      <c r="B46" s="2">
        <v>45.0</v>
      </c>
      <c r="C46" s="2" t="s">
        <v>17</v>
      </c>
      <c r="D46" s="2" t="s">
        <v>20</v>
      </c>
      <c r="E46" s="1">
        <v>2019.0</v>
      </c>
      <c r="F46" s="1" t="s">
        <v>17</v>
      </c>
      <c r="G46" s="1" t="s">
        <v>17</v>
      </c>
      <c r="H46" s="1" t="s">
        <v>17</v>
      </c>
      <c r="I46" s="1" t="s">
        <v>17</v>
      </c>
      <c r="J46" s="1">
        <v>0.0</v>
      </c>
      <c r="K46" s="1">
        <v>0.0</v>
      </c>
      <c r="L46" s="1">
        <v>0.0</v>
      </c>
      <c r="M46" s="1">
        <v>1.0</v>
      </c>
    </row>
    <row r="47">
      <c r="A47" s="2">
        <v>46.0</v>
      </c>
      <c r="B47" s="2">
        <v>46.0</v>
      </c>
      <c r="C47" s="2" t="s">
        <v>16</v>
      </c>
      <c r="D47" s="2" t="s">
        <v>20</v>
      </c>
      <c r="E47" s="1">
        <v>2019.0</v>
      </c>
      <c r="F47" s="1" t="s">
        <v>16</v>
      </c>
      <c r="G47" s="1" t="s">
        <v>16</v>
      </c>
      <c r="H47" s="1" t="s">
        <v>16</v>
      </c>
      <c r="I47" s="1" t="s">
        <v>16</v>
      </c>
      <c r="J47" s="1">
        <v>0.0</v>
      </c>
      <c r="K47" s="1">
        <v>0.0</v>
      </c>
      <c r="L47" s="1">
        <v>0.0</v>
      </c>
      <c r="M47" s="1">
        <v>0.0</v>
      </c>
    </row>
    <row r="48">
      <c r="A48" s="2">
        <v>47.0</v>
      </c>
      <c r="B48" s="2">
        <v>47.0</v>
      </c>
      <c r="C48" s="2" t="s">
        <v>15</v>
      </c>
      <c r="D48" s="2" t="s">
        <v>20</v>
      </c>
      <c r="E48" s="1">
        <v>2019.0</v>
      </c>
      <c r="F48" s="1" t="s">
        <v>15</v>
      </c>
      <c r="G48" s="1" t="s">
        <v>15</v>
      </c>
      <c r="H48" s="1" t="s">
        <v>16</v>
      </c>
      <c r="I48" s="1" t="s">
        <v>15</v>
      </c>
      <c r="J48" s="1">
        <v>0.0</v>
      </c>
      <c r="K48" s="1">
        <v>1.0</v>
      </c>
      <c r="L48" s="1">
        <v>0.0</v>
      </c>
      <c r="M48" s="1">
        <v>0.0</v>
      </c>
    </row>
    <row r="49">
      <c r="A49" s="2">
        <v>48.0</v>
      </c>
      <c r="B49" s="2">
        <v>48.0</v>
      </c>
      <c r="C49" s="2" t="s">
        <v>15</v>
      </c>
      <c r="D49" s="2" t="s">
        <v>20</v>
      </c>
      <c r="E49" s="1">
        <v>2019.0</v>
      </c>
      <c r="F49" s="1" t="s">
        <v>15</v>
      </c>
      <c r="G49" s="1" t="s">
        <v>15</v>
      </c>
      <c r="H49" s="1" t="s">
        <v>15</v>
      </c>
      <c r="I49" s="1" t="s">
        <v>15</v>
      </c>
      <c r="J49" s="1">
        <v>0.0</v>
      </c>
      <c r="K49" s="1">
        <v>0.0</v>
      </c>
      <c r="L49" s="1">
        <v>0.0</v>
      </c>
      <c r="M49" s="1">
        <v>0.0</v>
      </c>
    </row>
    <row r="50">
      <c r="A50" s="2">
        <v>49.0</v>
      </c>
      <c r="B50" s="2">
        <v>49.0</v>
      </c>
      <c r="C50" s="2" t="s">
        <v>15</v>
      </c>
      <c r="D50" s="2" t="s">
        <v>20</v>
      </c>
      <c r="E50" s="1">
        <v>2019.0</v>
      </c>
      <c r="F50" s="1" t="s">
        <v>15</v>
      </c>
      <c r="G50" s="1" t="s">
        <v>16</v>
      </c>
      <c r="H50" s="1" t="s">
        <v>15</v>
      </c>
      <c r="I50" s="1" t="s">
        <v>15</v>
      </c>
      <c r="J50" s="1">
        <v>1.0</v>
      </c>
      <c r="K50" s="1">
        <v>0.0</v>
      </c>
      <c r="L50" s="1">
        <v>0.0</v>
      </c>
      <c r="M50" s="1">
        <v>0.0</v>
      </c>
    </row>
    <row r="51">
      <c r="A51" s="2">
        <v>50.0</v>
      </c>
      <c r="B51" s="2">
        <v>50.0</v>
      </c>
      <c r="C51" s="2" t="s">
        <v>18</v>
      </c>
      <c r="D51" s="2" t="s">
        <v>20</v>
      </c>
      <c r="E51" s="1">
        <v>2019.0</v>
      </c>
      <c r="F51" s="1" t="s">
        <v>18</v>
      </c>
      <c r="G51" s="1" t="s">
        <v>18</v>
      </c>
      <c r="H51" s="1" t="s">
        <v>18</v>
      </c>
      <c r="I51" s="1" t="s">
        <v>18</v>
      </c>
      <c r="J51" s="1">
        <v>0.0</v>
      </c>
      <c r="K51" s="1">
        <v>0.0</v>
      </c>
      <c r="L51" s="1">
        <v>0.0</v>
      </c>
      <c r="M51" s="1">
        <v>1.0</v>
      </c>
    </row>
    <row r="52">
      <c r="A52" s="2">
        <v>51.0</v>
      </c>
      <c r="B52" s="2">
        <v>51.0</v>
      </c>
      <c r="C52" s="2" t="s">
        <v>17</v>
      </c>
      <c r="D52" s="2" t="s">
        <v>22</v>
      </c>
      <c r="E52" s="1">
        <v>2019.0</v>
      </c>
      <c r="F52" s="1" t="s">
        <v>17</v>
      </c>
      <c r="G52" s="1" t="s">
        <v>17</v>
      </c>
      <c r="H52" s="1" t="s">
        <v>17</v>
      </c>
      <c r="I52" s="1" t="s">
        <v>17</v>
      </c>
      <c r="J52" s="1">
        <v>0.0</v>
      </c>
      <c r="K52" s="1">
        <v>1.0</v>
      </c>
      <c r="L52" s="1">
        <v>0.0</v>
      </c>
      <c r="M52" s="1">
        <v>0.0</v>
      </c>
    </row>
    <row r="53">
      <c r="A53" s="2">
        <v>52.0</v>
      </c>
      <c r="B53" s="2">
        <v>52.0</v>
      </c>
      <c r="C53" s="2" t="s">
        <v>15</v>
      </c>
      <c r="D53" s="2" t="s">
        <v>22</v>
      </c>
      <c r="E53" s="1">
        <v>2019.0</v>
      </c>
      <c r="F53" s="1" t="s">
        <v>15</v>
      </c>
      <c r="G53" s="1" t="s">
        <v>15</v>
      </c>
      <c r="H53" s="1" t="s">
        <v>15</v>
      </c>
      <c r="I53" s="1" t="s">
        <v>15</v>
      </c>
      <c r="J53" s="1">
        <v>0.0</v>
      </c>
      <c r="K53" s="1">
        <v>0.0</v>
      </c>
      <c r="L53" s="1">
        <v>0.0</v>
      </c>
      <c r="M53" s="1">
        <v>0.0</v>
      </c>
    </row>
    <row r="54">
      <c r="A54" s="2">
        <v>53.0</v>
      </c>
      <c r="B54" s="2">
        <v>53.0</v>
      </c>
      <c r="C54" s="2" t="s">
        <v>17</v>
      </c>
      <c r="D54" s="2" t="s">
        <v>22</v>
      </c>
      <c r="E54" s="1">
        <v>2019.0</v>
      </c>
      <c r="F54" s="1" t="s">
        <v>18</v>
      </c>
      <c r="G54" s="1" t="s">
        <v>18</v>
      </c>
      <c r="H54" s="1" t="s">
        <v>18</v>
      </c>
      <c r="I54" s="1" t="s">
        <v>18</v>
      </c>
      <c r="J54" s="1">
        <v>0.0</v>
      </c>
      <c r="K54" s="1">
        <v>0.0</v>
      </c>
      <c r="L54" s="1">
        <v>0.0</v>
      </c>
      <c r="M54" s="1">
        <v>0.0</v>
      </c>
    </row>
    <row r="55">
      <c r="A55" s="2">
        <v>54.0</v>
      </c>
      <c r="B55" s="2">
        <v>54.0</v>
      </c>
      <c r="C55" s="2" t="s">
        <v>15</v>
      </c>
      <c r="D55" s="2" t="s">
        <v>22</v>
      </c>
      <c r="E55" s="1">
        <v>2019.0</v>
      </c>
      <c r="F55" s="1" t="s">
        <v>15</v>
      </c>
      <c r="G55" s="1" t="s">
        <v>15</v>
      </c>
      <c r="H55" s="1" t="s">
        <v>15</v>
      </c>
      <c r="I55" s="1" t="s">
        <v>15</v>
      </c>
      <c r="J55" s="1">
        <v>0.0</v>
      </c>
      <c r="K55" s="1">
        <v>0.0</v>
      </c>
      <c r="L55" s="1">
        <v>0.0</v>
      </c>
      <c r="M55" s="1">
        <v>0.0</v>
      </c>
    </row>
    <row r="56">
      <c r="A56" s="2">
        <v>55.0</v>
      </c>
      <c r="B56" s="2">
        <v>55.0</v>
      </c>
      <c r="C56" s="2" t="s">
        <v>13</v>
      </c>
      <c r="D56" s="2" t="s">
        <v>22</v>
      </c>
      <c r="E56" s="1">
        <v>2019.0</v>
      </c>
      <c r="F56" s="1" t="s">
        <v>13</v>
      </c>
      <c r="G56" s="1" t="s">
        <v>13</v>
      </c>
      <c r="H56" s="1" t="s">
        <v>16</v>
      </c>
      <c r="I56" s="1" t="s">
        <v>13</v>
      </c>
      <c r="J56" s="1">
        <v>0.0</v>
      </c>
      <c r="K56" s="1">
        <v>0.0</v>
      </c>
      <c r="L56" s="1">
        <v>0.0</v>
      </c>
      <c r="M56" s="1">
        <v>0.0</v>
      </c>
    </row>
    <row r="57">
      <c r="A57" s="2">
        <v>56.0</v>
      </c>
      <c r="B57" s="2">
        <v>56.0</v>
      </c>
      <c r="C57" s="2" t="s">
        <v>16</v>
      </c>
      <c r="D57" s="2" t="s">
        <v>22</v>
      </c>
      <c r="E57" s="1">
        <v>2019.0</v>
      </c>
      <c r="F57" s="1" t="s">
        <v>16</v>
      </c>
      <c r="G57" s="1" t="s">
        <v>16</v>
      </c>
      <c r="H57" s="1" t="s">
        <v>16</v>
      </c>
      <c r="I57" s="1" t="s">
        <v>16</v>
      </c>
      <c r="J57" s="1">
        <v>0.0</v>
      </c>
      <c r="K57" s="1">
        <v>0.0</v>
      </c>
      <c r="L57" s="1">
        <v>0.0</v>
      </c>
      <c r="M57" s="1">
        <v>0.0</v>
      </c>
    </row>
    <row r="58">
      <c r="A58" s="2">
        <v>57.0</v>
      </c>
      <c r="B58" s="2">
        <v>57.0</v>
      </c>
      <c r="C58" s="2" t="s">
        <v>15</v>
      </c>
      <c r="D58" s="2" t="s">
        <v>22</v>
      </c>
      <c r="E58" s="1">
        <v>2019.0</v>
      </c>
      <c r="F58" s="1" t="s">
        <v>15</v>
      </c>
      <c r="G58" s="1" t="s">
        <v>15</v>
      </c>
      <c r="H58" s="1" t="s">
        <v>15</v>
      </c>
      <c r="I58" s="1" t="s">
        <v>15</v>
      </c>
      <c r="J58" s="1">
        <v>0.0</v>
      </c>
      <c r="K58" s="1">
        <v>0.0</v>
      </c>
      <c r="L58" s="1">
        <v>0.0</v>
      </c>
      <c r="M58" s="1">
        <v>0.0</v>
      </c>
    </row>
    <row r="59">
      <c r="A59" s="2">
        <v>58.0</v>
      </c>
      <c r="B59" s="2">
        <v>58.0</v>
      </c>
      <c r="C59" s="2" t="s">
        <v>18</v>
      </c>
      <c r="D59" s="2" t="s">
        <v>22</v>
      </c>
      <c r="E59" s="1">
        <v>2019.0</v>
      </c>
      <c r="F59" s="1" t="s">
        <v>18</v>
      </c>
      <c r="G59" s="1" t="s">
        <v>18</v>
      </c>
      <c r="H59" s="1" t="s">
        <v>18</v>
      </c>
      <c r="I59" s="1" t="s">
        <v>18</v>
      </c>
      <c r="J59" s="1">
        <v>0.0</v>
      </c>
      <c r="K59" s="1">
        <v>0.0</v>
      </c>
      <c r="L59" s="1">
        <v>0.0</v>
      </c>
      <c r="M59" s="1">
        <v>0.0</v>
      </c>
    </row>
    <row r="60">
      <c r="A60" s="2">
        <v>59.0</v>
      </c>
      <c r="B60" s="2">
        <v>59.0</v>
      </c>
      <c r="C60" s="2" t="s">
        <v>17</v>
      </c>
      <c r="D60" s="2" t="s">
        <v>22</v>
      </c>
      <c r="E60" s="1">
        <v>2019.0</v>
      </c>
      <c r="F60" s="1" t="s">
        <v>17</v>
      </c>
      <c r="G60" s="1" t="s">
        <v>17</v>
      </c>
      <c r="H60" s="1" t="s">
        <v>17</v>
      </c>
      <c r="I60" s="1" t="s">
        <v>17</v>
      </c>
      <c r="J60" s="1">
        <v>0.0</v>
      </c>
      <c r="K60" s="1">
        <v>0.0</v>
      </c>
      <c r="L60" s="1">
        <v>0.0</v>
      </c>
      <c r="M60" s="1">
        <v>0.0</v>
      </c>
    </row>
    <row r="61">
      <c r="A61" s="2">
        <v>60.0</v>
      </c>
      <c r="B61" s="2">
        <v>60.0</v>
      </c>
      <c r="C61" s="2" t="s">
        <v>18</v>
      </c>
      <c r="D61" s="2" t="s">
        <v>22</v>
      </c>
      <c r="E61" s="1">
        <v>2019.0</v>
      </c>
      <c r="F61" s="1" t="s">
        <v>18</v>
      </c>
      <c r="G61" s="1" t="s">
        <v>18</v>
      </c>
      <c r="H61" s="1" t="s">
        <v>18</v>
      </c>
      <c r="I61" s="1" t="s">
        <v>18</v>
      </c>
      <c r="J61" s="1">
        <v>0.0</v>
      </c>
      <c r="K61" s="1">
        <v>0.0</v>
      </c>
      <c r="L61" s="1">
        <v>0.0</v>
      </c>
      <c r="M61" s="1">
        <v>0.0</v>
      </c>
    </row>
    <row r="62">
      <c r="A62" s="2">
        <v>61.0</v>
      </c>
      <c r="B62" s="2">
        <v>61.0</v>
      </c>
      <c r="C62" s="2" t="s">
        <v>15</v>
      </c>
      <c r="D62" s="2" t="s">
        <v>22</v>
      </c>
      <c r="E62" s="1">
        <v>2019.0</v>
      </c>
      <c r="F62" s="1" t="s">
        <v>15</v>
      </c>
      <c r="G62" s="1" t="s">
        <v>15</v>
      </c>
      <c r="H62" s="1" t="s">
        <v>15</v>
      </c>
      <c r="I62" s="1" t="s">
        <v>15</v>
      </c>
      <c r="J62" s="1">
        <v>0.0</v>
      </c>
      <c r="K62" s="1">
        <v>0.0</v>
      </c>
      <c r="L62" s="1">
        <v>0.0</v>
      </c>
      <c r="M62" s="1">
        <v>0.0</v>
      </c>
    </row>
    <row r="63">
      <c r="A63" s="2">
        <v>62.0</v>
      </c>
      <c r="B63" s="2">
        <v>62.0</v>
      </c>
      <c r="C63" s="2" t="s">
        <v>18</v>
      </c>
      <c r="D63" s="2" t="s">
        <v>22</v>
      </c>
      <c r="E63" s="1">
        <v>2019.0</v>
      </c>
      <c r="F63" s="1" t="s">
        <v>15</v>
      </c>
      <c r="G63" s="1" t="s">
        <v>18</v>
      </c>
      <c r="H63" s="1" t="s">
        <v>18</v>
      </c>
      <c r="I63" s="1" t="s">
        <v>18</v>
      </c>
      <c r="J63" s="1">
        <v>0.0</v>
      </c>
      <c r="K63" s="1">
        <v>0.0</v>
      </c>
      <c r="L63" s="1">
        <v>0.0</v>
      </c>
      <c r="M63" s="1">
        <v>0.0</v>
      </c>
    </row>
    <row r="64">
      <c r="A64" s="2">
        <v>63.0</v>
      </c>
      <c r="B64" s="2">
        <v>63.0</v>
      </c>
      <c r="C64" s="2" t="s">
        <v>13</v>
      </c>
      <c r="D64" s="2" t="s">
        <v>22</v>
      </c>
      <c r="E64" s="1">
        <v>2019.0</v>
      </c>
      <c r="F64" s="1" t="s">
        <v>13</v>
      </c>
      <c r="G64" s="1" t="s">
        <v>13</v>
      </c>
      <c r="H64" s="1" t="s">
        <v>13</v>
      </c>
      <c r="I64" s="1" t="s">
        <v>13</v>
      </c>
      <c r="J64" s="1">
        <v>0.0</v>
      </c>
      <c r="K64" s="1">
        <v>1.0</v>
      </c>
      <c r="L64" s="1">
        <v>1.0</v>
      </c>
      <c r="M64" s="1">
        <v>0.0</v>
      </c>
    </row>
    <row r="65">
      <c r="A65" s="2">
        <v>64.0</v>
      </c>
      <c r="B65" s="2">
        <v>64.0</v>
      </c>
      <c r="C65" s="2" t="s">
        <v>13</v>
      </c>
      <c r="D65" s="2" t="s">
        <v>22</v>
      </c>
      <c r="E65" s="1">
        <v>2019.0</v>
      </c>
      <c r="F65" s="1" t="s">
        <v>13</v>
      </c>
      <c r="G65" s="1" t="s">
        <v>13</v>
      </c>
      <c r="H65" s="1" t="s">
        <v>13</v>
      </c>
      <c r="I65" s="1" t="s">
        <v>13</v>
      </c>
      <c r="J65" s="1">
        <v>0.0</v>
      </c>
      <c r="K65" s="1">
        <v>0.0</v>
      </c>
      <c r="L65" s="1">
        <v>0.0</v>
      </c>
      <c r="M65" s="1">
        <v>0.0</v>
      </c>
    </row>
    <row r="66">
      <c r="A66" s="2">
        <v>65.0</v>
      </c>
      <c r="B66" s="2">
        <v>65.0</v>
      </c>
      <c r="C66" s="2" t="s">
        <v>13</v>
      </c>
      <c r="D66" s="2" t="s">
        <v>22</v>
      </c>
      <c r="E66" s="1">
        <v>2019.0</v>
      </c>
      <c r="F66" s="1" t="s">
        <v>13</v>
      </c>
      <c r="G66" s="1" t="s">
        <v>13</v>
      </c>
      <c r="H66" s="1" t="s">
        <v>13</v>
      </c>
      <c r="I66" s="1" t="s">
        <v>13</v>
      </c>
      <c r="J66" s="1">
        <v>0.0</v>
      </c>
      <c r="K66" s="1">
        <v>0.0</v>
      </c>
      <c r="L66" s="1">
        <v>0.0</v>
      </c>
      <c r="M66" s="1">
        <v>0.0</v>
      </c>
    </row>
    <row r="67">
      <c r="A67" s="2">
        <v>66.0</v>
      </c>
      <c r="B67" s="2">
        <v>66.0</v>
      </c>
      <c r="C67" s="2" t="s">
        <v>18</v>
      </c>
      <c r="D67" s="2" t="s">
        <v>22</v>
      </c>
      <c r="E67" s="1">
        <v>2019.0</v>
      </c>
      <c r="F67" s="1" t="s">
        <v>18</v>
      </c>
      <c r="G67" s="1" t="s">
        <v>18</v>
      </c>
      <c r="H67" s="1" t="s">
        <v>18</v>
      </c>
      <c r="I67" s="1" t="s">
        <v>18</v>
      </c>
      <c r="J67" s="1">
        <v>0.0</v>
      </c>
      <c r="K67" s="1">
        <v>0.0</v>
      </c>
      <c r="L67" s="1">
        <v>0.0</v>
      </c>
      <c r="M67" s="1">
        <v>0.0</v>
      </c>
    </row>
    <row r="68">
      <c r="A68" s="2">
        <v>67.0</v>
      </c>
      <c r="B68" s="2">
        <v>67.0</v>
      </c>
      <c r="C68" s="2" t="s">
        <v>17</v>
      </c>
      <c r="D68" s="2" t="s">
        <v>22</v>
      </c>
      <c r="E68" s="1">
        <v>2019.0</v>
      </c>
      <c r="F68" s="1" t="s">
        <v>17</v>
      </c>
      <c r="G68" s="1" t="s">
        <v>17</v>
      </c>
      <c r="H68" s="1" t="s">
        <v>17</v>
      </c>
      <c r="I68" s="1" t="s">
        <v>17</v>
      </c>
      <c r="J68" s="1">
        <v>0.0</v>
      </c>
      <c r="K68" s="1">
        <v>0.0</v>
      </c>
      <c r="L68" s="1">
        <v>0.0</v>
      </c>
      <c r="M68" s="1">
        <v>0.0</v>
      </c>
    </row>
    <row r="69">
      <c r="A69" s="2">
        <v>68.0</v>
      </c>
      <c r="B69" s="2">
        <v>68.0</v>
      </c>
      <c r="C69" s="2" t="s">
        <v>17</v>
      </c>
      <c r="D69" s="2" t="s">
        <v>22</v>
      </c>
      <c r="E69" s="1">
        <v>2019.0</v>
      </c>
      <c r="F69" s="1" t="s">
        <v>17</v>
      </c>
      <c r="G69" s="1" t="s">
        <v>16</v>
      </c>
      <c r="H69" s="1" t="s">
        <v>18</v>
      </c>
      <c r="I69" s="1" t="s">
        <v>17</v>
      </c>
      <c r="J69" s="1">
        <v>0.0</v>
      </c>
      <c r="K69" s="1">
        <v>1.0</v>
      </c>
      <c r="L69" s="1">
        <v>0.0</v>
      </c>
      <c r="M69" s="1">
        <v>0.0</v>
      </c>
    </row>
    <row r="70">
      <c r="A70" s="2">
        <v>69.0</v>
      </c>
      <c r="B70" s="2">
        <v>69.0</v>
      </c>
      <c r="C70" s="2" t="s">
        <v>18</v>
      </c>
      <c r="D70" s="2" t="s">
        <v>22</v>
      </c>
      <c r="E70" s="1">
        <v>2019.0</v>
      </c>
      <c r="F70" s="1" t="s">
        <v>18</v>
      </c>
      <c r="G70" s="1" t="s">
        <v>18</v>
      </c>
      <c r="H70" s="1" t="s">
        <v>18</v>
      </c>
      <c r="I70" s="1" t="s">
        <v>18</v>
      </c>
      <c r="J70" s="1">
        <v>0.0</v>
      </c>
      <c r="K70" s="1">
        <v>0.0</v>
      </c>
      <c r="L70" s="1">
        <v>0.0</v>
      </c>
      <c r="M70" s="1">
        <v>0.0</v>
      </c>
    </row>
    <row r="71">
      <c r="A71" s="2">
        <v>70.0</v>
      </c>
      <c r="B71" s="2">
        <v>70.0</v>
      </c>
      <c r="C71" s="2" t="s">
        <v>16</v>
      </c>
      <c r="D71" s="2" t="s">
        <v>22</v>
      </c>
      <c r="E71" s="1">
        <v>2019.0</v>
      </c>
      <c r="F71" s="1" t="s">
        <v>15</v>
      </c>
      <c r="G71" s="1" t="s">
        <v>13</v>
      </c>
      <c r="H71" s="1" t="s">
        <v>15</v>
      </c>
      <c r="I71" s="1" t="s">
        <v>13</v>
      </c>
      <c r="J71" s="1">
        <v>0.0</v>
      </c>
      <c r="K71" s="1">
        <v>0.0</v>
      </c>
      <c r="L71" s="1">
        <v>0.0</v>
      </c>
      <c r="M71" s="1">
        <v>0.0</v>
      </c>
    </row>
    <row r="72">
      <c r="A72" s="2">
        <v>71.0</v>
      </c>
      <c r="B72" s="1">
        <v>1.0</v>
      </c>
      <c r="C72" s="1" t="s">
        <v>15</v>
      </c>
      <c r="D72" s="1" t="s">
        <v>14</v>
      </c>
      <c r="E72" s="1">
        <v>2022.0</v>
      </c>
      <c r="F72" s="1" t="s">
        <v>15</v>
      </c>
      <c r="G72" s="1" t="s">
        <v>15</v>
      </c>
      <c r="H72" s="1" t="s">
        <v>15</v>
      </c>
      <c r="I72" s="1" t="s">
        <v>15</v>
      </c>
      <c r="J72" s="1">
        <v>0.0</v>
      </c>
      <c r="K72" s="1">
        <v>1.0</v>
      </c>
      <c r="L72" s="1">
        <v>0.0</v>
      </c>
      <c r="M72" s="1">
        <v>0.0</v>
      </c>
    </row>
    <row r="73">
      <c r="A73" s="2">
        <v>72.0</v>
      </c>
      <c r="B73" s="1">
        <v>2.0</v>
      </c>
      <c r="C73" s="1" t="s">
        <v>13</v>
      </c>
      <c r="D73" s="1" t="s">
        <v>14</v>
      </c>
      <c r="E73" s="1">
        <v>2022.0</v>
      </c>
      <c r="F73" s="1" t="s">
        <v>13</v>
      </c>
      <c r="G73" s="1" t="s">
        <v>13</v>
      </c>
      <c r="H73" s="1" t="s">
        <v>13</v>
      </c>
      <c r="I73" s="1" t="s">
        <v>13</v>
      </c>
      <c r="J73" s="1">
        <v>0.0</v>
      </c>
      <c r="K73" s="1">
        <v>1.0</v>
      </c>
      <c r="L73" s="1">
        <v>0.0</v>
      </c>
      <c r="M73" s="1">
        <v>0.0</v>
      </c>
    </row>
    <row r="74">
      <c r="A74" s="2">
        <v>73.0</v>
      </c>
      <c r="B74" s="1">
        <v>3.0</v>
      </c>
      <c r="C74" s="1" t="s">
        <v>13</v>
      </c>
      <c r="D74" s="1" t="s">
        <v>14</v>
      </c>
      <c r="E74" s="1">
        <v>2022.0</v>
      </c>
      <c r="F74" s="1" t="s">
        <v>13</v>
      </c>
      <c r="G74" s="1" t="s">
        <v>13</v>
      </c>
      <c r="H74" s="1" t="s">
        <v>13</v>
      </c>
      <c r="I74" s="1" t="s">
        <v>13</v>
      </c>
      <c r="J74" s="1">
        <v>0.0</v>
      </c>
      <c r="K74" s="1">
        <v>1.0</v>
      </c>
      <c r="L74" s="1">
        <v>0.0</v>
      </c>
      <c r="M74" s="1">
        <v>0.0</v>
      </c>
    </row>
    <row r="75">
      <c r="A75" s="2">
        <v>74.0</v>
      </c>
      <c r="B75" s="1">
        <v>4.0</v>
      </c>
      <c r="C75" s="1" t="s">
        <v>15</v>
      </c>
      <c r="D75" s="1" t="s">
        <v>14</v>
      </c>
      <c r="E75" s="1">
        <v>2022.0</v>
      </c>
      <c r="F75" s="1" t="s">
        <v>15</v>
      </c>
      <c r="G75" s="1" t="s">
        <v>15</v>
      </c>
      <c r="H75" s="1" t="s">
        <v>15</v>
      </c>
      <c r="I75" s="1" t="s">
        <v>15</v>
      </c>
      <c r="J75" s="1">
        <v>0.0</v>
      </c>
      <c r="K75" s="1">
        <v>1.0</v>
      </c>
      <c r="L75" s="1">
        <v>0.0</v>
      </c>
      <c r="M75" s="1">
        <v>0.0</v>
      </c>
    </row>
    <row r="76">
      <c r="A76" s="2">
        <v>75.0</v>
      </c>
      <c r="B76" s="1">
        <v>5.0</v>
      </c>
      <c r="C76" s="1" t="s">
        <v>13</v>
      </c>
      <c r="D76" s="1" t="s">
        <v>14</v>
      </c>
      <c r="E76" s="1">
        <v>2022.0</v>
      </c>
      <c r="F76" s="1" t="s">
        <v>13</v>
      </c>
      <c r="G76" s="1" t="s">
        <v>13</v>
      </c>
      <c r="H76" s="1" t="s">
        <v>13</v>
      </c>
      <c r="I76" s="1" t="s">
        <v>13</v>
      </c>
      <c r="J76" s="1">
        <v>0.0</v>
      </c>
      <c r="K76" s="1">
        <v>1.0</v>
      </c>
      <c r="L76" s="1">
        <v>0.0</v>
      </c>
      <c r="M76" s="1">
        <v>0.0</v>
      </c>
    </row>
    <row r="77">
      <c r="A77" s="2">
        <v>76.0</v>
      </c>
      <c r="B77" s="1">
        <v>6.0</v>
      </c>
      <c r="C77" s="1" t="s">
        <v>13</v>
      </c>
      <c r="D77" s="1" t="s">
        <v>14</v>
      </c>
      <c r="E77" s="1">
        <v>2022.0</v>
      </c>
      <c r="F77" s="1" t="s">
        <v>13</v>
      </c>
      <c r="G77" s="1" t="s">
        <v>13</v>
      </c>
      <c r="H77" s="1" t="s">
        <v>13</v>
      </c>
      <c r="I77" s="1" t="s">
        <v>13</v>
      </c>
      <c r="J77" s="1">
        <v>0.0</v>
      </c>
      <c r="K77" s="1">
        <v>1.0</v>
      </c>
      <c r="L77" s="1">
        <v>0.0</v>
      </c>
      <c r="M77" s="1">
        <v>0.0</v>
      </c>
    </row>
    <row r="78">
      <c r="A78" s="2">
        <v>77.0</v>
      </c>
      <c r="B78" s="1">
        <v>7.0</v>
      </c>
      <c r="C78" s="1" t="s">
        <v>15</v>
      </c>
      <c r="D78" s="1" t="s">
        <v>14</v>
      </c>
      <c r="E78" s="1">
        <v>2022.0</v>
      </c>
      <c r="F78" s="1" t="s">
        <v>15</v>
      </c>
      <c r="G78" s="1" t="s">
        <v>15</v>
      </c>
      <c r="H78" s="1" t="s">
        <v>15</v>
      </c>
      <c r="I78" s="1" t="s">
        <v>15</v>
      </c>
      <c r="J78" s="1">
        <v>0.0</v>
      </c>
      <c r="K78" s="1">
        <v>1.0</v>
      </c>
      <c r="L78" s="1">
        <v>0.0</v>
      </c>
      <c r="M78" s="1">
        <v>0.0</v>
      </c>
    </row>
    <row r="79">
      <c r="A79" s="2">
        <v>78.0</v>
      </c>
      <c r="B79" s="1">
        <v>8.0</v>
      </c>
      <c r="C79" s="1" t="s">
        <v>16</v>
      </c>
      <c r="D79" s="1" t="s">
        <v>14</v>
      </c>
      <c r="E79" s="1">
        <v>2022.0</v>
      </c>
      <c r="F79" s="1" t="s">
        <v>16</v>
      </c>
      <c r="G79" s="1" t="s">
        <v>16</v>
      </c>
      <c r="H79" s="1" t="s">
        <v>16</v>
      </c>
      <c r="I79" s="1" t="s">
        <v>16</v>
      </c>
      <c r="J79" s="1">
        <v>0.0</v>
      </c>
      <c r="K79" s="1">
        <v>1.0</v>
      </c>
      <c r="L79" s="1">
        <v>0.0</v>
      </c>
      <c r="M79" s="1">
        <v>0.0</v>
      </c>
    </row>
    <row r="80">
      <c r="A80" s="2">
        <v>79.0</v>
      </c>
      <c r="B80" s="1">
        <v>9.0</v>
      </c>
      <c r="C80" s="1" t="s">
        <v>18</v>
      </c>
      <c r="D80" s="1" t="s">
        <v>14</v>
      </c>
      <c r="E80" s="1">
        <v>2022.0</v>
      </c>
      <c r="F80" s="1" t="s">
        <v>18</v>
      </c>
      <c r="G80" s="1" t="s">
        <v>18</v>
      </c>
      <c r="H80" s="1" t="s">
        <v>18</v>
      </c>
      <c r="I80" s="1" t="s">
        <v>18</v>
      </c>
      <c r="J80" s="1">
        <v>0.0</v>
      </c>
      <c r="K80" s="1">
        <v>1.0</v>
      </c>
      <c r="L80" s="1">
        <v>0.0</v>
      </c>
      <c r="M80" s="1">
        <v>0.0</v>
      </c>
    </row>
    <row r="81">
      <c r="A81" s="2">
        <v>80.0</v>
      </c>
      <c r="B81" s="1">
        <v>10.0</v>
      </c>
      <c r="C81" s="1" t="s">
        <v>13</v>
      </c>
      <c r="D81" s="1" t="s">
        <v>14</v>
      </c>
      <c r="E81" s="1">
        <v>2022.0</v>
      </c>
      <c r="F81" s="1" t="s">
        <v>13</v>
      </c>
      <c r="G81" s="1" t="s">
        <v>13</v>
      </c>
      <c r="H81" s="1" t="s">
        <v>13</v>
      </c>
      <c r="I81" s="1" t="s">
        <v>13</v>
      </c>
      <c r="J81" s="1">
        <v>0.0</v>
      </c>
      <c r="K81" s="1">
        <v>1.0</v>
      </c>
      <c r="L81" s="1">
        <v>0.0</v>
      </c>
      <c r="M81" s="1">
        <v>0.0</v>
      </c>
    </row>
    <row r="82">
      <c r="A82" s="2">
        <v>81.0</v>
      </c>
      <c r="B82" s="1">
        <v>11.0</v>
      </c>
      <c r="C82" s="1" t="s">
        <v>16</v>
      </c>
      <c r="D82" s="1" t="s">
        <v>14</v>
      </c>
      <c r="E82" s="1">
        <v>2022.0</v>
      </c>
      <c r="F82" s="1" t="s">
        <v>16</v>
      </c>
      <c r="G82" s="1" t="s">
        <v>16</v>
      </c>
      <c r="H82" s="1" t="s">
        <v>16</v>
      </c>
      <c r="I82" s="1" t="s">
        <v>16</v>
      </c>
      <c r="J82" s="1">
        <v>0.0</v>
      </c>
      <c r="K82" s="1">
        <v>0.0</v>
      </c>
      <c r="L82" s="1">
        <v>0.0</v>
      </c>
      <c r="M82" s="1">
        <v>0.0</v>
      </c>
    </row>
    <row r="83">
      <c r="A83" s="2">
        <v>82.0</v>
      </c>
      <c r="B83" s="1">
        <v>12.0</v>
      </c>
      <c r="C83" s="1" t="s">
        <v>17</v>
      </c>
      <c r="D83" s="1" t="s">
        <v>14</v>
      </c>
      <c r="E83" s="1">
        <v>2022.0</v>
      </c>
      <c r="F83" s="1" t="s">
        <v>17</v>
      </c>
      <c r="G83" s="1" t="s">
        <v>17</v>
      </c>
      <c r="H83" s="1" t="s">
        <v>17</v>
      </c>
      <c r="I83" s="1" t="s">
        <v>17</v>
      </c>
      <c r="J83" s="1">
        <v>0.0</v>
      </c>
      <c r="K83" s="1">
        <v>0.0</v>
      </c>
      <c r="L83" s="1">
        <v>0.0</v>
      </c>
      <c r="M83" s="1">
        <v>0.0</v>
      </c>
    </row>
    <row r="84">
      <c r="A84" s="2">
        <v>83.0</v>
      </c>
      <c r="B84" s="1">
        <v>13.0</v>
      </c>
      <c r="C84" s="1" t="s">
        <v>13</v>
      </c>
      <c r="D84" s="1" t="s">
        <v>14</v>
      </c>
      <c r="E84" s="1">
        <v>2022.0</v>
      </c>
      <c r="F84" s="1" t="s">
        <v>13</v>
      </c>
      <c r="G84" s="1" t="s">
        <v>13</v>
      </c>
      <c r="H84" s="1" t="s">
        <v>13</v>
      </c>
      <c r="I84" s="1" t="s">
        <v>13</v>
      </c>
      <c r="J84" s="1">
        <v>0.0</v>
      </c>
      <c r="K84" s="1">
        <v>0.0</v>
      </c>
      <c r="L84" s="1">
        <v>0.0</v>
      </c>
      <c r="M84" s="1">
        <v>0.0</v>
      </c>
    </row>
    <row r="85">
      <c r="A85" s="2">
        <v>84.0</v>
      </c>
      <c r="B85" s="1">
        <v>14.0</v>
      </c>
      <c r="C85" s="1" t="s">
        <v>16</v>
      </c>
      <c r="D85" s="1" t="s">
        <v>14</v>
      </c>
      <c r="E85" s="1">
        <v>2022.0</v>
      </c>
      <c r="F85" s="1" t="s">
        <v>16</v>
      </c>
      <c r="G85" s="1" t="s">
        <v>16</v>
      </c>
      <c r="H85" s="1" t="s">
        <v>16</v>
      </c>
      <c r="I85" s="1" t="s">
        <v>16</v>
      </c>
      <c r="J85" s="1">
        <v>0.0</v>
      </c>
      <c r="K85" s="1">
        <v>0.0</v>
      </c>
      <c r="L85" s="1">
        <v>0.0</v>
      </c>
      <c r="M85" s="1">
        <v>0.0</v>
      </c>
    </row>
    <row r="86">
      <c r="A86" s="2">
        <v>85.0</v>
      </c>
      <c r="B86" s="1">
        <v>15.0</v>
      </c>
      <c r="C86" s="1" t="s">
        <v>18</v>
      </c>
      <c r="D86" s="1" t="s">
        <v>14</v>
      </c>
      <c r="E86" s="1">
        <v>2022.0</v>
      </c>
      <c r="F86" s="1" t="s">
        <v>18</v>
      </c>
      <c r="G86" s="1" t="s">
        <v>18</v>
      </c>
      <c r="H86" s="1" t="s">
        <v>18</v>
      </c>
      <c r="I86" s="1" t="s">
        <v>18</v>
      </c>
      <c r="J86" s="1">
        <v>0.0</v>
      </c>
      <c r="K86" s="1">
        <v>1.0</v>
      </c>
      <c r="L86" s="1">
        <v>0.0</v>
      </c>
      <c r="M86" s="1">
        <v>0.0</v>
      </c>
    </row>
    <row r="87">
      <c r="A87" s="2">
        <v>86.0</v>
      </c>
      <c r="B87" s="1">
        <v>16.0</v>
      </c>
      <c r="C87" s="1" t="s">
        <v>13</v>
      </c>
      <c r="D87" s="1" t="s">
        <v>14</v>
      </c>
      <c r="E87" s="1">
        <v>2022.0</v>
      </c>
      <c r="F87" s="1" t="s">
        <v>13</v>
      </c>
      <c r="G87" s="1" t="s">
        <v>13</v>
      </c>
      <c r="H87" s="1" t="s">
        <v>13</v>
      </c>
      <c r="I87" s="1" t="s">
        <v>13</v>
      </c>
      <c r="J87" s="1">
        <v>0.0</v>
      </c>
      <c r="K87" s="1">
        <v>1.0</v>
      </c>
      <c r="L87" s="1">
        <v>0.0</v>
      </c>
      <c r="M87" s="1">
        <v>0.0</v>
      </c>
    </row>
    <row r="88">
      <c r="A88" s="2">
        <v>87.0</v>
      </c>
      <c r="B88" s="1">
        <v>17.0</v>
      </c>
      <c r="C88" s="1" t="s">
        <v>16</v>
      </c>
      <c r="D88" s="1" t="s">
        <v>14</v>
      </c>
      <c r="E88" s="1">
        <v>2022.0</v>
      </c>
      <c r="F88" s="1" t="s">
        <v>16</v>
      </c>
      <c r="G88" s="1" t="s">
        <v>16</v>
      </c>
      <c r="H88" s="1" t="s">
        <v>18</v>
      </c>
      <c r="I88" s="1" t="s">
        <v>16</v>
      </c>
      <c r="J88" s="1">
        <v>0.0</v>
      </c>
      <c r="K88" s="1">
        <v>0.0</v>
      </c>
      <c r="L88" s="1">
        <v>0.0</v>
      </c>
      <c r="M88" s="1">
        <v>0.0</v>
      </c>
    </row>
    <row r="89">
      <c r="A89" s="2">
        <v>88.0</v>
      </c>
      <c r="B89" s="1">
        <v>18.0</v>
      </c>
      <c r="C89" s="1" t="s">
        <v>15</v>
      </c>
      <c r="D89" s="1" t="s">
        <v>14</v>
      </c>
      <c r="E89" s="1">
        <v>2022.0</v>
      </c>
      <c r="F89" s="1" t="s">
        <v>15</v>
      </c>
      <c r="G89" s="1" t="s">
        <v>15</v>
      </c>
      <c r="H89" s="1" t="s">
        <v>15</v>
      </c>
      <c r="I89" s="1" t="s">
        <v>15</v>
      </c>
      <c r="J89" s="1">
        <v>0.0</v>
      </c>
      <c r="K89" s="1">
        <v>0.0</v>
      </c>
      <c r="L89" s="1">
        <v>1.0</v>
      </c>
      <c r="M89" s="1">
        <v>0.0</v>
      </c>
    </row>
    <row r="90">
      <c r="A90" s="2">
        <v>89.0</v>
      </c>
      <c r="B90" s="1">
        <v>19.0</v>
      </c>
      <c r="C90" s="1" t="s">
        <v>15</v>
      </c>
      <c r="D90" s="1" t="s">
        <v>14</v>
      </c>
      <c r="E90" s="1">
        <v>2022.0</v>
      </c>
      <c r="F90" s="1" t="s">
        <v>15</v>
      </c>
      <c r="G90" s="1" t="s">
        <v>15</v>
      </c>
      <c r="H90" s="1" t="s">
        <v>15</v>
      </c>
      <c r="I90" s="1" t="s">
        <v>15</v>
      </c>
      <c r="J90" s="1">
        <v>0.0</v>
      </c>
      <c r="K90" s="1">
        <v>0.0</v>
      </c>
      <c r="L90" s="1">
        <v>0.0</v>
      </c>
      <c r="M90" s="1">
        <v>0.0</v>
      </c>
    </row>
    <row r="91">
      <c r="A91" s="2">
        <v>90.0</v>
      </c>
      <c r="B91" s="1">
        <v>20.0</v>
      </c>
      <c r="C91" s="1" t="s">
        <v>17</v>
      </c>
      <c r="D91" s="1" t="s">
        <v>14</v>
      </c>
      <c r="E91" s="1">
        <v>2022.0</v>
      </c>
      <c r="F91" s="1" t="s">
        <v>17</v>
      </c>
      <c r="G91" s="1" t="s">
        <v>17</v>
      </c>
      <c r="H91" s="1" t="s">
        <v>17</v>
      </c>
      <c r="I91" s="1" t="s">
        <v>17</v>
      </c>
      <c r="J91" s="1">
        <v>0.0</v>
      </c>
      <c r="K91" s="1">
        <v>0.0</v>
      </c>
      <c r="L91" s="1">
        <v>1.0</v>
      </c>
      <c r="M91" s="1">
        <v>0.0</v>
      </c>
    </row>
    <row r="92">
      <c r="A92" s="2">
        <v>91.0</v>
      </c>
      <c r="B92" s="1">
        <v>21.0</v>
      </c>
      <c r="C92" s="1" t="s">
        <v>17</v>
      </c>
      <c r="D92" s="1" t="s">
        <v>20</v>
      </c>
      <c r="E92" s="1">
        <v>2022.0</v>
      </c>
      <c r="F92" s="1" t="s">
        <v>17</v>
      </c>
      <c r="G92" s="1" t="s">
        <v>17</v>
      </c>
      <c r="H92" s="1" t="s">
        <v>17</v>
      </c>
      <c r="I92" s="1" t="s">
        <v>17</v>
      </c>
      <c r="J92" s="1">
        <v>0.0</v>
      </c>
      <c r="K92" s="1">
        <v>0.0</v>
      </c>
      <c r="L92" s="1">
        <v>0.0</v>
      </c>
      <c r="M92" s="1">
        <v>0.0</v>
      </c>
    </row>
    <row r="93">
      <c r="A93" s="2">
        <v>92.0</v>
      </c>
      <c r="B93" s="1">
        <v>22.0</v>
      </c>
      <c r="C93" s="1" t="s">
        <v>18</v>
      </c>
      <c r="D93" s="1" t="s">
        <v>20</v>
      </c>
      <c r="E93" s="1">
        <v>2022.0</v>
      </c>
      <c r="F93" s="1" t="s">
        <v>18</v>
      </c>
      <c r="G93" s="1" t="s">
        <v>18</v>
      </c>
      <c r="H93" s="1" t="s">
        <v>18</v>
      </c>
      <c r="I93" s="1" t="s">
        <v>18</v>
      </c>
      <c r="J93" s="1">
        <v>0.0</v>
      </c>
      <c r="K93" s="1">
        <v>1.0</v>
      </c>
      <c r="L93" s="1">
        <v>0.0</v>
      </c>
      <c r="M93" s="1">
        <v>0.0</v>
      </c>
    </row>
    <row r="94">
      <c r="A94" s="2">
        <v>93.0</v>
      </c>
      <c r="B94" s="1">
        <v>23.0</v>
      </c>
      <c r="C94" s="1" t="s">
        <v>18</v>
      </c>
      <c r="D94" s="1" t="s">
        <v>20</v>
      </c>
      <c r="E94" s="1">
        <v>2022.0</v>
      </c>
      <c r="F94" s="1" t="s">
        <v>18</v>
      </c>
      <c r="G94" s="1" t="s">
        <v>18</v>
      </c>
      <c r="H94" s="1" t="s">
        <v>18</v>
      </c>
      <c r="I94" s="1" t="s">
        <v>18</v>
      </c>
      <c r="J94" s="1">
        <v>0.0</v>
      </c>
      <c r="K94" s="1">
        <v>0.0</v>
      </c>
      <c r="L94" s="1">
        <v>0.0</v>
      </c>
      <c r="M94" s="1">
        <v>0.0</v>
      </c>
    </row>
    <row r="95">
      <c r="A95" s="2">
        <v>94.0</v>
      </c>
      <c r="B95" s="1">
        <v>24.0</v>
      </c>
      <c r="C95" s="1" t="s">
        <v>15</v>
      </c>
      <c r="D95" s="1" t="s">
        <v>20</v>
      </c>
      <c r="E95" s="1">
        <v>2022.0</v>
      </c>
      <c r="F95" s="1" t="s">
        <v>15</v>
      </c>
      <c r="G95" s="1" t="s">
        <v>15</v>
      </c>
      <c r="H95" s="1" t="s">
        <v>15</v>
      </c>
      <c r="I95" s="1" t="s">
        <v>15</v>
      </c>
      <c r="J95" s="1">
        <v>0.0</v>
      </c>
      <c r="K95" s="1">
        <v>0.0</v>
      </c>
      <c r="L95" s="1">
        <v>0.0</v>
      </c>
      <c r="M95" s="1">
        <v>0.0</v>
      </c>
    </row>
    <row r="96">
      <c r="A96" s="2">
        <v>95.0</v>
      </c>
      <c r="B96" s="1">
        <v>25.0</v>
      </c>
      <c r="C96" s="1" t="s">
        <v>13</v>
      </c>
      <c r="D96" s="1" t="s">
        <v>20</v>
      </c>
      <c r="E96" s="1">
        <v>2022.0</v>
      </c>
      <c r="F96" s="1" t="s">
        <v>13</v>
      </c>
      <c r="G96" s="1" t="s">
        <v>13</v>
      </c>
      <c r="H96" s="1" t="s">
        <v>13</v>
      </c>
      <c r="I96" s="1" t="s">
        <v>13</v>
      </c>
      <c r="J96" s="1">
        <v>0.0</v>
      </c>
      <c r="K96" s="1">
        <v>0.0</v>
      </c>
      <c r="L96" s="1">
        <v>0.0</v>
      </c>
      <c r="M96" s="1">
        <v>0.0</v>
      </c>
    </row>
    <row r="97">
      <c r="A97" s="2">
        <v>96.0</v>
      </c>
      <c r="B97" s="1">
        <v>26.0</v>
      </c>
      <c r="C97" s="1" t="s">
        <v>13</v>
      </c>
      <c r="D97" s="1" t="s">
        <v>20</v>
      </c>
      <c r="E97" s="1">
        <v>2022.0</v>
      </c>
      <c r="F97" s="1" t="s">
        <v>13</v>
      </c>
      <c r="G97" s="1" t="s">
        <v>13</v>
      </c>
      <c r="H97" s="1" t="s">
        <v>13</v>
      </c>
      <c r="I97" s="1" t="s">
        <v>13</v>
      </c>
      <c r="J97" s="1">
        <v>0.0</v>
      </c>
      <c r="K97" s="1">
        <v>0.0</v>
      </c>
      <c r="L97" s="1">
        <v>0.0</v>
      </c>
      <c r="M97" s="1">
        <v>0.0</v>
      </c>
    </row>
    <row r="98">
      <c r="A98" s="2">
        <v>97.0</v>
      </c>
      <c r="B98" s="1">
        <v>27.0</v>
      </c>
      <c r="C98" s="1" t="s">
        <v>16</v>
      </c>
      <c r="D98" s="1" t="s">
        <v>20</v>
      </c>
      <c r="E98" s="1">
        <v>2022.0</v>
      </c>
      <c r="F98" s="1" t="s">
        <v>16</v>
      </c>
      <c r="G98" s="1" t="s">
        <v>16</v>
      </c>
      <c r="H98" s="1" t="s">
        <v>16</v>
      </c>
      <c r="I98" s="1" t="s">
        <v>15</v>
      </c>
      <c r="J98" s="1">
        <v>1.0</v>
      </c>
      <c r="K98" s="1">
        <v>0.0</v>
      </c>
      <c r="L98" s="1">
        <v>0.0</v>
      </c>
      <c r="M98" s="1">
        <v>0.0</v>
      </c>
    </row>
    <row r="99">
      <c r="A99" s="2">
        <v>98.0</v>
      </c>
      <c r="B99" s="1">
        <v>28.0</v>
      </c>
      <c r="C99" s="1" t="s">
        <v>18</v>
      </c>
      <c r="D99" s="1" t="s">
        <v>20</v>
      </c>
      <c r="E99" s="1">
        <v>2022.0</v>
      </c>
      <c r="F99" s="1" t="s">
        <v>18</v>
      </c>
      <c r="G99" s="1" t="s">
        <v>18</v>
      </c>
      <c r="H99" s="1" t="s">
        <v>18</v>
      </c>
      <c r="I99" s="1" t="s">
        <v>18</v>
      </c>
      <c r="J99" s="1">
        <v>0.0</v>
      </c>
      <c r="K99" s="1">
        <v>0.0</v>
      </c>
      <c r="L99" s="1">
        <v>0.0</v>
      </c>
      <c r="M99" s="1">
        <v>1.0</v>
      </c>
    </row>
    <row r="100">
      <c r="A100" s="2">
        <v>99.0</v>
      </c>
      <c r="B100" s="1">
        <v>29.0</v>
      </c>
      <c r="C100" s="1" t="s">
        <v>16</v>
      </c>
      <c r="D100" s="1" t="s">
        <v>20</v>
      </c>
      <c r="E100" s="1">
        <v>2022.0</v>
      </c>
      <c r="F100" s="1" t="s">
        <v>16</v>
      </c>
      <c r="G100" s="1" t="s">
        <v>16</v>
      </c>
      <c r="H100" s="1" t="s">
        <v>16</v>
      </c>
      <c r="I100" s="1" t="s">
        <v>16</v>
      </c>
      <c r="J100" s="1">
        <v>0.0</v>
      </c>
      <c r="K100" s="1">
        <v>0.0</v>
      </c>
      <c r="L100" s="1">
        <v>0.0</v>
      </c>
      <c r="M100" s="1">
        <v>0.0</v>
      </c>
    </row>
    <row r="101">
      <c r="A101" s="2">
        <v>100.0</v>
      </c>
      <c r="B101" s="1">
        <v>30.0</v>
      </c>
      <c r="C101" s="1" t="s">
        <v>17</v>
      </c>
      <c r="D101" s="1" t="s">
        <v>20</v>
      </c>
      <c r="E101" s="1">
        <v>2022.0</v>
      </c>
      <c r="F101" s="1" t="s">
        <v>17</v>
      </c>
      <c r="G101" s="1" t="s">
        <v>16</v>
      </c>
      <c r="H101" s="1" t="s">
        <v>17</v>
      </c>
      <c r="I101" s="1" t="s">
        <v>17</v>
      </c>
      <c r="J101" s="1">
        <v>0.0</v>
      </c>
      <c r="K101" s="1">
        <v>0.0</v>
      </c>
      <c r="L101" s="1">
        <v>0.0</v>
      </c>
      <c r="M101" s="1">
        <v>0.0</v>
      </c>
    </row>
    <row r="102">
      <c r="A102" s="2">
        <v>101.0</v>
      </c>
      <c r="B102" s="1">
        <v>31.0</v>
      </c>
      <c r="C102" s="1" t="s">
        <v>15</v>
      </c>
      <c r="D102" s="1" t="s">
        <v>20</v>
      </c>
      <c r="E102" s="1">
        <v>2022.0</v>
      </c>
      <c r="F102" s="1" t="s">
        <v>15</v>
      </c>
      <c r="G102" s="1" t="s">
        <v>15</v>
      </c>
      <c r="H102" s="1" t="s">
        <v>15</v>
      </c>
      <c r="I102" s="1" t="s">
        <v>15</v>
      </c>
      <c r="J102" s="1">
        <v>1.0</v>
      </c>
      <c r="K102" s="1">
        <v>0.0</v>
      </c>
      <c r="L102" s="1">
        <v>0.0</v>
      </c>
      <c r="M102" s="1">
        <v>0.0</v>
      </c>
    </row>
    <row r="103">
      <c r="A103" s="2">
        <v>102.0</v>
      </c>
      <c r="B103" s="1">
        <v>32.0</v>
      </c>
      <c r="C103" s="1" t="s">
        <v>15</v>
      </c>
      <c r="D103" s="1" t="s">
        <v>20</v>
      </c>
      <c r="E103" s="1">
        <v>2022.0</v>
      </c>
      <c r="F103" s="1" t="s">
        <v>15</v>
      </c>
      <c r="G103" s="1" t="s">
        <v>15</v>
      </c>
      <c r="H103" s="1" t="s">
        <v>15</v>
      </c>
      <c r="I103" s="1" t="s">
        <v>15</v>
      </c>
      <c r="J103" s="1">
        <v>0.0</v>
      </c>
      <c r="K103" s="1">
        <v>0.0</v>
      </c>
      <c r="L103" s="1">
        <v>0.0</v>
      </c>
      <c r="M103" s="1">
        <v>0.0</v>
      </c>
    </row>
    <row r="104">
      <c r="A104" s="2">
        <v>103.0</v>
      </c>
      <c r="B104" s="1">
        <v>33.0</v>
      </c>
      <c r="C104" s="1" t="s">
        <v>16</v>
      </c>
      <c r="D104" s="1" t="s">
        <v>20</v>
      </c>
      <c r="E104" s="1">
        <v>2022.0</v>
      </c>
      <c r="F104" s="1" t="s">
        <v>13</v>
      </c>
      <c r="G104" s="1" t="s">
        <v>16</v>
      </c>
      <c r="H104" s="1" t="s">
        <v>13</v>
      </c>
      <c r="I104" s="1" t="s">
        <v>16</v>
      </c>
      <c r="J104" s="1">
        <v>0.0</v>
      </c>
      <c r="K104" s="1">
        <v>0.0</v>
      </c>
      <c r="L104" s="1">
        <v>0.0</v>
      </c>
      <c r="M104" s="1">
        <v>0.0</v>
      </c>
    </row>
    <row r="105">
      <c r="A105" s="2">
        <v>104.0</v>
      </c>
      <c r="B105" s="1">
        <v>34.0</v>
      </c>
      <c r="C105" s="1" t="s">
        <v>16</v>
      </c>
      <c r="D105" s="1" t="s">
        <v>20</v>
      </c>
      <c r="E105" s="1">
        <v>2022.0</v>
      </c>
      <c r="F105" s="1" t="s">
        <v>16</v>
      </c>
      <c r="G105" s="1" t="s">
        <v>16</v>
      </c>
      <c r="H105" s="1" t="s">
        <v>16</v>
      </c>
      <c r="I105" s="1" t="s">
        <v>16</v>
      </c>
      <c r="J105" s="1">
        <v>0.0</v>
      </c>
      <c r="K105" s="1">
        <v>0.0</v>
      </c>
      <c r="L105" s="1">
        <v>0.0</v>
      </c>
      <c r="M105" s="1">
        <v>0.0</v>
      </c>
    </row>
    <row r="106">
      <c r="A106" s="2">
        <v>105.0</v>
      </c>
      <c r="B106" s="1">
        <v>35.0</v>
      </c>
      <c r="C106" s="1" t="s">
        <v>13</v>
      </c>
      <c r="D106" s="1" t="s">
        <v>20</v>
      </c>
      <c r="E106" s="1">
        <v>2022.0</v>
      </c>
      <c r="F106" s="1" t="s">
        <v>13</v>
      </c>
      <c r="G106" s="1" t="s">
        <v>13</v>
      </c>
      <c r="H106" s="1" t="s">
        <v>13</v>
      </c>
      <c r="I106" s="1" t="s">
        <v>13</v>
      </c>
      <c r="J106" s="1">
        <v>0.0</v>
      </c>
      <c r="K106" s="1">
        <v>0.0</v>
      </c>
      <c r="L106" s="1">
        <v>0.0</v>
      </c>
      <c r="M106" s="1">
        <v>0.0</v>
      </c>
    </row>
    <row r="107">
      <c r="A107" s="2">
        <v>106.0</v>
      </c>
      <c r="B107" s="1">
        <v>36.0</v>
      </c>
      <c r="C107" s="1" t="s">
        <v>18</v>
      </c>
      <c r="D107" s="1" t="s">
        <v>20</v>
      </c>
      <c r="E107" s="1">
        <v>2022.0</v>
      </c>
      <c r="F107" s="1" t="s">
        <v>18</v>
      </c>
      <c r="G107" s="1" t="s">
        <v>18</v>
      </c>
      <c r="H107" s="1" t="s">
        <v>18</v>
      </c>
      <c r="I107" s="1" t="s">
        <v>18</v>
      </c>
      <c r="J107" s="1">
        <v>0.0</v>
      </c>
      <c r="K107" s="1">
        <v>0.0</v>
      </c>
      <c r="L107" s="1">
        <v>0.0</v>
      </c>
      <c r="M107" s="1">
        <v>0.0</v>
      </c>
    </row>
    <row r="108">
      <c r="A108" s="2">
        <v>107.0</v>
      </c>
      <c r="B108" s="1">
        <v>37.0</v>
      </c>
      <c r="C108" s="1" t="s">
        <v>17</v>
      </c>
      <c r="D108" s="1" t="s">
        <v>20</v>
      </c>
      <c r="E108" s="1">
        <v>2022.0</v>
      </c>
      <c r="F108" s="1" t="s">
        <v>17</v>
      </c>
      <c r="G108" s="1" t="s">
        <v>17</v>
      </c>
      <c r="H108" s="1" t="s">
        <v>17</v>
      </c>
      <c r="I108" s="1" t="s">
        <v>17</v>
      </c>
      <c r="J108" s="1">
        <v>0.0</v>
      </c>
      <c r="K108" s="1">
        <v>0.0</v>
      </c>
      <c r="L108" s="1">
        <v>0.0</v>
      </c>
      <c r="M108" s="1">
        <v>0.0</v>
      </c>
    </row>
    <row r="109">
      <c r="A109" s="2">
        <v>108.0</v>
      </c>
      <c r="B109" s="1">
        <v>38.0</v>
      </c>
      <c r="C109" s="1" t="s">
        <v>13</v>
      </c>
      <c r="D109" s="1" t="s">
        <v>20</v>
      </c>
      <c r="E109" s="1">
        <v>2022.0</v>
      </c>
      <c r="F109" s="1" t="s">
        <v>13</v>
      </c>
      <c r="G109" s="1" t="s">
        <v>13</v>
      </c>
      <c r="H109" s="1" t="s">
        <v>13</v>
      </c>
      <c r="I109" s="1" t="s">
        <v>13</v>
      </c>
      <c r="J109" s="1">
        <v>0.0</v>
      </c>
      <c r="K109" s="1">
        <v>0.0</v>
      </c>
      <c r="L109" s="1">
        <v>0.0</v>
      </c>
      <c r="M109" s="1">
        <v>0.0</v>
      </c>
    </row>
    <row r="110">
      <c r="A110" s="2">
        <v>109.0</v>
      </c>
      <c r="B110" s="1">
        <v>39.0</v>
      </c>
      <c r="C110" s="1" t="s">
        <v>13</v>
      </c>
      <c r="D110" s="1" t="s">
        <v>20</v>
      </c>
      <c r="E110" s="1">
        <v>2022.0</v>
      </c>
      <c r="F110" s="1" t="s">
        <v>13</v>
      </c>
      <c r="G110" s="1" t="s">
        <v>13</v>
      </c>
      <c r="H110" s="1" t="s">
        <v>13</v>
      </c>
      <c r="I110" s="1" t="s">
        <v>13</v>
      </c>
      <c r="J110" s="1">
        <v>0.0</v>
      </c>
      <c r="K110" s="1">
        <v>0.0</v>
      </c>
      <c r="L110" s="1">
        <v>0.0</v>
      </c>
      <c r="M110" s="1">
        <v>0.0</v>
      </c>
    </row>
    <row r="111">
      <c r="A111" s="5">
        <v>110.0</v>
      </c>
      <c r="B111" s="6">
        <v>40.0</v>
      </c>
      <c r="C111" s="6" t="s">
        <v>21</v>
      </c>
      <c r="D111" s="6" t="s">
        <v>20</v>
      </c>
      <c r="E111" s="6">
        <v>2022.0</v>
      </c>
      <c r="F111" s="6"/>
      <c r="G111" s="7"/>
      <c r="H111" s="6"/>
      <c r="I111" s="7"/>
      <c r="J111" s="6">
        <v>1.0</v>
      </c>
      <c r="K111" s="6">
        <v>0.0</v>
      </c>
      <c r="L111" s="6">
        <v>0.0</v>
      </c>
      <c r="M111" s="6">
        <v>0.0</v>
      </c>
    </row>
    <row r="112">
      <c r="A112" s="2">
        <v>111.0</v>
      </c>
      <c r="B112" s="1">
        <v>41.0</v>
      </c>
      <c r="C112" s="1" t="s">
        <v>18</v>
      </c>
      <c r="D112" s="1" t="s">
        <v>20</v>
      </c>
      <c r="E112" s="1">
        <v>2022.0</v>
      </c>
      <c r="F112" s="1" t="s">
        <v>18</v>
      </c>
      <c r="G112" s="1" t="s">
        <v>18</v>
      </c>
      <c r="H112" s="1" t="s">
        <v>18</v>
      </c>
      <c r="I112" s="1" t="s">
        <v>18</v>
      </c>
      <c r="J112" s="1">
        <v>1.0</v>
      </c>
      <c r="K112" s="1">
        <v>0.0</v>
      </c>
      <c r="L112" s="1">
        <v>0.0</v>
      </c>
      <c r="M112" s="1">
        <v>0.0</v>
      </c>
    </row>
    <row r="113">
      <c r="A113" s="2">
        <v>112.0</v>
      </c>
      <c r="B113" s="1">
        <v>42.0</v>
      </c>
      <c r="C113" s="1" t="s">
        <v>15</v>
      </c>
      <c r="D113" s="1" t="s">
        <v>20</v>
      </c>
      <c r="E113" s="1">
        <v>2022.0</v>
      </c>
      <c r="F113" s="1" t="s">
        <v>15</v>
      </c>
      <c r="G113" s="1" t="s">
        <v>16</v>
      </c>
      <c r="H113" s="1" t="s">
        <v>15</v>
      </c>
      <c r="I113" s="1" t="s">
        <v>15</v>
      </c>
      <c r="J113" s="1">
        <v>0.0</v>
      </c>
      <c r="K113" s="1">
        <v>0.0</v>
      </c>
      <c r="L113" s="1">
        <v>0.0</v>
      </c>
      <c r="M113" s="1">
        <v>0.0</v>
      </c>
    </row>
    <row r="114">
      <c r="A114" s="2">
        <v>113.0</v>
      </c>
      <c r="B114" s="1">
        <v>43.0</v>
      </c>
      <c r="C114" s="1" t="s">
        <v>16</v>
      </c>
      <c r="D114" s="1" t="s">
        <v>20</v>
      </c>
      <c r="E114" s="1">
        <v>2022.0</v>
      </c>
      <c r="F114" s="1" t="s">
        <v>15</v>
      </c>
      <c r="G114" s="1" t="s">
        <v>18</v>
      </c>
      <c r="H114" s="1" t="s">
        <v>15</v>
      </c>
      <c r="I114" s="1" t="s">
        <v>18</v>
      </c>
      <c r="J114" s="1">
        <v>1.0</v>
      </c>
      <c r="K114" s="1">
        <v>0.0</v>
      </c>
      <c r="L114" s="1">
        <v>0.0</v>
      </c>
      <c r="M114" s="1">
        <v>0.0</v>
      </c>
    </row>
    <row r="115">
      <c r="A115" s="2">
        <v>114.0</v>
      </c>
      <c r="B115" s="1">
        <v>44.0</v>
      </c>
      <c r="C115" s="1" t="s">
        <v>16</v>
      </c>
      <c r="D115" s="1" t="s">
        <v>20</v>
      </c>
      <c r="E115" s="1">
        <v>2022.0</v>
      </c>
      <c r="F115" s="1" t="s">
        <v>13</v>
      </c>
      <c r="G115" s="1" t="s">
        <v>13</v>
      </c>
      <c r="H115" s="1" t="s">
        <v>13</v>
      </c>
      <c r="I115" s="1" t="s">
        <v>13</v>
      </c>
      <c r="J115" s="1">
        <v>0.0</v>
      </c>
      <c r="K115" s="1">
        <v>0.0</v>
      </c>
      <c r="L115" s="1">
        <v>0.0</v>
      </c>
      <c r="M115" s="1">
        <v>0.0</v>
      </c>
    </row>
    <row r="116">
      <c r="A116" s="2">
        <v>115.0</v>
      </c>
      <c r="B116" s="1">
        <v>45.0</v>
      </c>
      <c r="C116" s="1" t="s">
        <v>16</v>
      </c>
      <c r="D116" s="1" t="s">
        <v>20</v>
      </c>
      <c r="E116" s="1">
        <v>2022.0</v>
      </c>
      <c r="F116" s="1" t="s">
        <v>17</v>
      </c>
      <c r="G116" s="1" t="s">
        <v>17</v>
      </c>
      <c r="H116" s="1" t="s">
        <v>17</v>
      </c>
      <c r="I116" s="1" t="s">
        <v>17</v>
      </c>
      <c r="J116" s="1">
        <v>0.0</v>
      </c>
      <c r="K116" s="1">
        <v>0.0</v>
      </c>
      <c r="L116" s="1">
        <v>0.0</v>
      </c>
      <c r="M116" s="1">
        <v>0.0</v>
      </c>
    </row>
    <row r="117">
      <c r="A117" s="2">
        <v>116.0</v>
      </c>
      <c r="B117" s="1">
        <v>46.0</v>
      </c>
      <c r="C117" s="1" t="s">
        <v>15</v>
      </c>
      <c r="D117" s="1" t="s">
        <v>20</v>
      </c>
      <c r="E117" s="1">
        <v>2022.0</v>
      </c>
      <c r="F117" s="1" t="s">
        <v>15</v>
      </c>
      <c r="G117" s="1" t="s">
        <v>15</v>
      </c>
      <c r="H117" s="1" t="s">
        <v>15</v>
      </c>
      <c r="I117" s="1" t="s">
        <v>15</v>
      </c>
      <c r="J117" s="1">
        <v>0.0</v>
      </c>
      <c r="K117" s="1">
        <v>0.0</v>
      </c>
      <c r="L117" s="1">
        <v>0.0</v>
      </c>
      <c r="M117" s="1">
        <v>1.0</v>
      </c>
    </row>
    <row r="118">
      <c r="A118" s="2">
        <v>117.0</v>
      </c>
      <c r="B118" s="1">
        <v>47.0</v>
      </c>
      <c r="C118" s="1" t="s">
        <v>16</v>
      </c>
      <c r="D118" s="1" t="s">
        <v>20</v>
      </c>
      <c r="E118" s="1">
        <v>2022.0</v>
      </c>
      <c r="F118" s="1" t="s">
        <v>16</v>
      </c>
      <c r="G118" s="1" t="s">
        <v>16</v>
      </c>
      <c r="H118" s="1" t="s">
        <v>16</v>
      </c>
      <c r="I118" s="1" t="s">
        <v>16</v>
      </c>
      <c r="J118" s="1">
        <v>0.0</v>
      </c>
      <c r="K118" s="1">
        <v>0.0</v>
      </c>
      <c r="L118" s="1">
        <v>0.0</v>
      </c>
      <c r="M118" s="1">
        <v>0.0</v>
      </c>
    </row>
    <row r="119">
      <c r="A119" s="2">
        <v>118.0</v>
      </c>
      <c r="B119" s="1">
        <v>48.0</v>
      </c>
      <c r="C119" s="1" t="s">
        <v>15</v>
      </c>
      <c r="D119" s="1" t="s">
        <v>20</v>
      </c>
      <c r="E119" s="1">
        <v>2022.0</v>
      </c>
      <c r="F119" s="1" t="s">
        <v>15</v>
      </c>
      <c r="G119" s="1" t="s">
        <v>15</v>
      </c>
      <c r="H119" s="1" t="s">
        <v>15</v>
      </c>
      <c r="I119" s="1" t="s">
        <v>15</v>
      </c>
      <c r="J119" s="1">
        <v>0.0</v>
      </c>
      <c r="K119" s="1">
        <v>0.0</v>
      </c>
      <c r="L119" s="1">
        <v>0.0</v>
      </c>
      <c r="M119" s="1">
        <v>0.0</v>
      </c>
    </row>
    <row r="120">
      <c r="A120" s="2">
        <v>119.0</v>
      </c>
      <c r="B120" s="1">
        <v>49.0</v>
      </c>
      <c r="C120" s="1" t="s">
        <v>16</v>
      </c>
      <c r="D120" s="1" t="s">
        <v>20</v>
      </c>
      <c r="E120" s="1">
        <v>2022.0</v>
      </c>
      <c r="F120" s="1" t="s">
        <v>16</v>
      </c>
      <c r="G120" s="1" t="s">
        <v>16</v>
      </c>
      <c r="H120" s="1" t="s">
        <v>16</v>
      </c>
      <c r="I120" s="1" t="s">
        <v>16</v>
      </c>
      <c r="J120" s="1">
        <v>0.0</v>
      </c>
      <c r="K120" s="1">
        <v>0.0</v>
      </c>
      <c r="L120" s="1">
        <v>1.0</v>
      </c>
      <c r="M120" s="1">
        <v>0.0</v>
      </c>
    </row>
    <row r="121">
      <c r="A121" s="2">
        <v>120.0</v>
      </c>
      <c r="B121" s="1">
        <v>50.0</v>
      </c>
      <c r="C121" s="1" t="s">
        <v>18</v>
      </c>
      <c r="D121" s="1" t="s">
        <v>20</v>
      </c>
      <c r="E121" s="1">
        <v>2022.0</v>
      </c>
      <c r="F121" s="1" t="s">
        <v>18</v>
      </c>
      <c r="G121" s="1" t="s">
        <v>18</v>
      </c>
      <c r="H121" s="1" t="s">
        <v>18</v>
      </c>
      <c r="I121" s="1" t="s">
        <v>18</v>
      </c>
      <c r="J121" s="1">
        <v>0.0</v>
      </c>
      <c r="K121" s="1">
        <v>0.0</v>
      </c>
      <c r="L121" s="1">
        <v>0.0</v>
      </c>
      <c r="M121" s="1">
        <v>0.0</v>
      </c>
    </row>
    <row r="122">
      <c r="A122" s="2">
        <v>121.0</v>
      </c>
      <c r="B122" s="1">
        <v>51.0</v>
      </c>
      <c r="C122" s="1" t="s">
        <v>15</v>
      </c>
      <c r="D122" s="1" t="s">
        <v>22</v>
      </c>
      <c r="E122" s="1">
        <v>2022.0</v>
      </c>
      <c r="F122" s="1" t="s">
        <v>15</v>
      </c>
      <c r="G122" s="1" t="s">
        <v>15</v>
      </c>
      <c r="H122" s="1" t="s">
        <v>15</v>
      </c>
      <c r="I122" s="1" t="s">
        <v>15</v>
      </c>
      <c r="J122" s="1">
        <v>0.0</v>
      </c>
      <c r="K122" s="1">
        <v>0.0</v>
      </c>
      <c r="L122" s="1">
        <v>0.0</v>
      </c>
      <c r="M122" s="1">
        <v>0.0</v>
      </c>
    </row>
    <row r="123">
      <c r="A123" s="2">
        <v>122.0</v>
      </c>
      <c r="B123" s="1">
        <v>52.0</v>
      </c>
      <c r="C123" s="1" t="s">
        <v>18</v>
      </c>
      <c r="D123" s="1" t="s">
        <v>22</v>
      </c>
      <c r="E123" s="1">
        <v>2022.0</v>
      </c>
      <c r="F123" s="1" t="s">
        <v>18</v>
      </c>
      <c r="G123" s="1" t="s">
        <v>18</v>
      </c>
      <c r="H123" s="1" t="s">
        <v>18</v>
      </c>
      <c r="I123" s="1" t="s">
        <v>18</v>
      </c>
      <c r="J123" s="1">
        <v>0.0</v>
      </c>
      <c r="K123" s="1">
        <v>0.0</v>
      </c>
      <c r="L123" s="1">
        <v>0.0</v>
      </c>
      <c r="M123" s="1">
        <v>0.0</v>
      </c>
    </row>
    <row r="124">
      <c r="A124" s="2">
        <v>123.0</v>
      </c>
      <c r="B124" s="1">
        <v>53.0</v>
      </c>
      <c r="C124" s="1" t="s">
        <v>15</v>
      </c>
      <c r="D124" s="1" t="s">
        <v>22</v>
      </c>
      <c r="E124" s="1">
        <v>2022.0</v>
      </c>
      <c r="F124" s="1" t="s">
        <v>17</v>
      </c>
      <c r="G124" s="1" t="s">
        <v>17</v>
      </c>
      <c r="H124" s="1" t="s">
        <v>15</v>
      </c>
      <c r="I124" s="1" t="s">
        <v>17</v>
      </c>
      <c r="J124" s="1">
        <v>0.0</v>
      </c>
      <c r="K124" s="1">
        <v>0.0</v>
      </c>
      <c r="L124" s="1">
        <v>0.0</v>
      </c>
      <c r="M124" s="1">
        <v>0.0</v>
      </c>
    </row>
    <row r="125">
      <c r="A125" s="2">
        <v>124.0</v>
      </c>
      <c r="B125" s="1">
        <v>54.0</v>
      </c>
      <c r="C125" s="1" t="s">
        <v>15</v>
      </c>
      <c r="D125" s="1" t="s">
        <v>22</v>
      </c>
      <c r="E125" s="1">
        <v>2022.0</v>
      </c>
      <c r="F125" s="1" t="s">
        <v>15</v>
      </c>
      <c r="G125" s="1" t="s">
        <v>15</v>
      </c>
      <c r="H125" s="1" t="s">
        <v>15</v>
      </c>
      <c r="I125" s="1" t="s">
        <v>15</v>
      </c>
      <c r="J125" s="1">
        <v>0.0</v>
      </c>
      <c r="K125" s="1">
        <v>0.0</v>
      </c>
      <c r="L125" s="1">
        <v>0.0</v>
      </c>
      <c r="M125" s="1">
        <v>0.0</v>
      </c>
    </row>
    <row r="126">
      <c r="A126" s="2">
        <v>125.0</v>
      </c>
      <c r="B126" s="1">
        <v>55.0</v>
      </c>
      <c r="C126" s="1" t="s">
        <v>17</v>
      </c>
      <c r="D126" s="1" t="s">
        <v>22</v>
      </c>
      <c r="E126" s="1">
        <v>2022.0</v>
      </c>
      <c r="F126" s="1" t="s">
        <v>17</v>
      </c>
      <c r="G126" s="1" t="s">
        <v>17</v>
      </c>
      <c r="H126" s="1" t="s">
        <v>17</v>
      </c>
      <c r="I126" s="1" t="s">
        <v>17</v>
      </c>
      <c r="J126" s="1">
        <v>0.0</v>
      </c>
      <c r="K126" s="1">
        <v>0.0</v>
      </c>
      <c r="L126" s="1">
        <v>0.0</v>
      </c>
      <c r="M126" s="1">
        <v>0.0</v>
      </c>
    </row>
    <row r="127">
      <c r="A127" s="2">
        <v>126.0</v>
      </c>
      <c r="B127" s="1">
        <v>56.0</v>
      </c>
      <c r="C127" s="1" t="s">
        <v>16</v>
      </c>
      <c r="D127" s="1" t="s">
        <v>22</v>
      </c>
      <c r="E127" s="1">
        <v>2022.0</v>
      </c>
      <c r="F127" s="1" t="s">
        <v>17</v>
      </c>
      <c r="G127" s="1" t="s">
        <v>17</v>
      </c>
      <c r="H127" s="1" t="s">
        <v>17</v>
      </c>
      <c r="I127" s="1" t="s">
        <v>17</v>
      </c>
      <c r="J127" s="1">
        <v>0.0</v>
      </c>
      <c r="K127" s="1">
        <v>0.0</v>
      </c>
      <c r="L127" s="1">
        <v>0.0</v>
      </c>
      <c r="M127" s="1">
        <v>0.0</v>
      </c>
    </row>
    <row r="128">
      <c r="A128" s="2">
        <v>127.0</v>
      </c>
      <c r="B128" s="1">
        <v>57.0</v>
      </c>
      <c r="C128" s="1" t="s">
        <v>18</v>
      </c>
      <c r="D128" s="1" t="s">
        <v>22</v>
      </c>
      <c r="E128" s="1">
        <v>2022.0</v>
      </c>
      <c r="F128" s="1" t="s">
        <v>18</v>
      </c>
      <c r="G128" s="1" t="s">
        <v>18</v>
      </c>
      <c r="H128" s="1" t="s">
        <v>18</v>
      </c>
      <c r="I128" s="1" t="s">
        <v>18</v>
      </c>
      <c r="J128" s="1">
        <v>0.0</v>
      </c>
      <c r="K128" s="1">
        <v>0.0</v>
      </c>
      <c r="L128" s="1">
        <v>0.0</v>
      </c>
      <c r="M128" s="1">
        <v>0.0</v>
      </c>
    </row>
    <row r="129">
      <c r="A129" s="2">
        <v>128.0</v>
      </c>
      <c r="B129" s="1">
        <v>58.0</v>
      </c>
      <c r="C129" s="1" t="s">
        <v>15</v>
      </c>
      <c r="D129" s="1" t="s">
        <v>22</v>
      </c>
      <c r="E129" s="1">
        <v>2022.0</v>
      </c>
      <c r="F129" s="1" t="s">
        <v>15</v>
      </c>
      <c r="G129" s="1" t="s">
        <v>15</v>
      </c>
      <c r="H129" s="1" t="s">
        <v>15</v>
      </c>
      <c r="I129" s="1" t="s">
        <v>15</v>
      </c>
      <c r="J129" s="1">
        <v>0.0</v>
      </c>
      <c r="K129" s="1">
        <v>0.0</v>
      </c>
      <c r="L129" s="1">
        <v>0.0</v>
      </c>
      <c r="M129" s="1">
        <v>0.0</v>
      </c>
    </row>
    <row r="130">
      <c r="A130" s="2">
        <v>129.0</v>
      </c>
      <c r="B130" s="1">
        <v>59.0</v>
      </c>
      <c r="C130" s="1" t="s">
        <v>16</v>
      </c>
      <c r="D130" s="1" t="s">
        <v>22</v>
      </c>
      <c r="E130" s="1">
        <v>2022.0</v>
      </c>
      <c r="F130" s="1" t="s">
        <v>16</v>
      </c>
      <c r="G130" s="1" t="s">
        <v>16</v>
      </c>
      <c r="H130" s="1" t="s">
        <v>16</v>
      </c>
      <c r="I130" s="1" t="s">
        <v>16</v>
      </c>
      <c r="J130" s="1">
        <v>0.0</v>
      </c>
      <c r="K130" s="1">
        <v>0.0</v>
      </c>
      <c r="L130" s="1">
        <v>0.0</v>
      </c>
      <c r="M130" s="1">
        <v>0.0</v>
      </c>
    </row>
    <row r="131">
      <c r="A131" s="2">
        <v>130.0</v>
      </c>
      <c r="B131" s="1">
        <v>60.0</v>
      </c>
      <c r="C131" s="1" t="s">
        <v>15</v>
      </c>
      <c r="D131" s="1" t="s">
        <v>22</v>
      </c>
      <c r="E131" s="1">
        <v>2022.0</v>
      </c>
      <c r="F131" s="1" t="s">
        <v>15</v>
      </c>
      <c r="G131" s="1" t="s">
        <v>15</v>
      </c>
      <c r="H131" s="1" t="s">
        <v>15</v>
      </c>
      <c r="I131" s="1" t="s">
        <v>15</v>
      </c>
      <c r="J131" s="1">
        <v>0.0</v>
      </c>
      <c r="K131" s="1">
        <v>0.0</v>
      </c>
      <c r="L131" s="1">
        <v>1.0</v>
      </c>
      <c r="M131" s="1">
        <v>0.0</v>
      </c>
    </row>
    <row r="132">
      <c r="A132" s="2">
        <v>131.0</v>
      </c>
      <c r="B132" s="1">
        <v>61.0</v>
      </c>
      <c r="C132" s="1" t="s">
        <v>17</v>
      </c>
      <c r="D132" s="1" t="s">
        <v>22</v>
      </c>
      <c r="E132" s="1">
        <v>2022.0</v>
      </c>
      <c r="F132" s="1" t="s">
        <v>17</v>
      </c>
      <c r="G132" s="1" t="s">
        <v>17</v>
      </c>
      <c r="H132" s="1" t="s">
        <v>17</v>
      </c>
      <c r="I132" s="1" t="s">
        <v>17</v>
      </c>
      <c r="J132" s="1">
        <v>0.0</v>
      </c>
      <c r="K132" s="1">
        <v>0.0</v>
      </c>
      <c r="L132" s="1">
        <v>0.0</v>
      </c>
      <c r="M132" s="1">
        <v>0.0</v>
      </c>
    </row>
    <row r="133">
      <c r="A133" s="2">
        <v>132.0</v>
      </c>
      <c r="B133" s="1">
        <v>62.0</v>
      </c>
      <c r="C133" s="1" t="s">
        <v>15</v>
      </c>
      <c r="D133" s="1" t="s">
        <v>22</v>
      </c>
      <c r="E133" s="1">
        <v>2022.0</v>
      </c>
      <c r="F133" s="1" t="s">
        <v>15</v>
      </c>
      <c r="G133" s="1" t="s">
        <v>15</v>
      </c>
      <c r="H133" s="1" t="s">
        <v>15</v>
      </c>
      <c r="I133" s="1" t="s">
        <v>15</v>
      </c>
      <c r="J133" s="1">
        <v>0.0</v>
      </c>
      <c r="K133" s="1">
        <v>0.0</v>
      </c>
      <c r="L133" s="1">
        <v>0.0</v>
      </c>
      <c r="M133" s="1">
        <v>0.0</v>
      </c>
    </row>
    <row r="134">
      <c r="A134" s="2">
        <v>133.0</v>
      </c>
      <c r="B134" s="1">
        <v>63.0</v>
      </c>
      <c r="C134" s="1" t="s">
        <v>16</v>
      </c>
      <c r="D134" s="1" t="s">
        <v>22</v>
      </c>
      <c r="E134" s="1">
        <v>2022.0</v>
      </c>
      <c r="F134" s="1" t="s">
        <v>16</v>
      </c>
      <c r="G134" s="1" t="s">
        <v>16</v>
      </c>
      <c r="H134" s="1" t="s">
        <v>16</v>
      </c>
      <c r="I134" s="1" t="s">
        <v>16</v>
      </c>
      <c r="J134" s="1">
        <v>0.0</v>
      </c>
      <c r="K134" s="1">
        <v>0.0</v>
      </c>
      <c r="L134" s="1">
        <v>0.0</v>
      </c>
      <c r="M134" s="1">
        <v>0.0</v>
      </c>
    </row>
    <row r="135">
      <c r="A135" s="2">
        <v>134.0</v>
      </c>
      <c r="B135" s="1">
        <v>64.0</v>
      </c>
      <c r="C135" s="1" t="s">
        <v>17</v>
      </c>
      <c r="D135" s="1" t="s">
        <v>22</v>
      </c>
      <c r="E135" s="1">
        <v>2022.0</v>
      </c>
      <c r="F135" s="1" t="s">
        <v>17</v>
      </c>
      <c r="G135" s="1" t="s">
        <v>17</v>
      </c>
      <c r="H135" s="1" t="s">
        <v>17</v>
      </c>
      <c r="I135" s="1" t="s">
        <v>17</v>
      </c>
      <c r="J135" s="1">
        <v>0.0</v>
      </c>
      <c r="K135" s="1">
        <v>0.0</v>
      </c>
      <c r="L135" s="1">
        <v>0.0</v>
      </c>
      <c r="M135" s="1">
        <v>0.0</v>
      </c>
    </row>
    <row r="136">
      <c r="A136" s="2">
        <v>135.0</v>
      </c>
      <c r="B136" s="1">
        <v>65.0</v>
      </c>
      <c r="C136" s="1" t="s">
        <v>17</v>
      </c>
      <c r="D136" s="1" t="s">
        <v>22</v>
      </c>
      <c r="E136" s="1">
        <v>2022.0</v>
      </c>
      <c r="F136" s="1" t="s">
        <v>17</v>
      </c>
      <c r="G136" s="1" t="s">
        <v>17</v>
      </c>
      <c r="H136" s="1" t="s">
        <v>17</v>
      </c>
      <c r="I136" s="1" t="s">
        <v>17</v>
      </c>
      <c r="J136" s="1">
        <v>0.0</v>
      </c>
      <c r="K136" s="1">
        <v>0.0</v>
      </c>
      <c r="L136" s="1">
        <v>0.0</v>
      </c>
      <c r="M136" s="1">
        <v>0.0</v>
      </c>
    </row>
    <row r="137">
      <c r="A137" s="2">
        <v>136.0</v>
      </c>
      <c r="B137" s="1">
        <v>66.0</v>
      </c>
      <c r="C137" s="1" t="s">
        <v>18</v>
      </c>
      <c r="D137" s="1" t="s">
        <v>22</v>
      </c>
      <c r="E137" s="1">
        <v>2022.0</v>
      </c>
      <c r="F137" s="1" t="s">
        <v>18</v>
      </c>
      <c r="G137" s="1" t="s">
        <v>18</v>
      </c>
      <c r="H137" s="1" t="s">
        <v>18</v>
      </c>
      <c r="I137" s="1" t="s">
        <v>18</v>
      </c>
      <c r="J137" s="1">
        <v>0.0</v>
      </c>
      <c r="K137" s="1">
        <v>0.0</v>
      </c>
      <c r="L137" s="1">
        <v>0.0</v>
      </c>
      <c r="M137" s="1">
        <v>0.0</v>
      </c>
    </row>
    <row r="138">
      <c r="A138" s="2">
        <v>137.0</v>
      </c>
      <c r="B138" s="1">
        <v>67.0</v>
      </c>
      <c r="C138" s="1" t="s">
        <v>13</v>
      </c>
      <c r="D138" s="1" t="s">
        <v>22</v>
      </c>
      <c r="E138" s="1">
        <v>2022.0</v>
      </c>
      <c r="F138" s="1" t="s">
        <v>13</v>
      </c>
      <c r="G138" s="1" t="s">
        <v>13</v>
      </c>
      <c r="H138" s="1" t="s">
        <v>13</v>
      </c>
      <c r="I138" s="1" t="s">
        <v>13</v>
      </c>
      <c r="J138" s="1">
        <v>0.0</v>
      </c>
      <c r="K138" s="1">
        <v>0.0</v>
      </c>
      <c r="L138" s="1">
        <v>0.0</v>
      </c>
      <c r="M138" s="1">
        <v>0.0</v>
      </c>
    </row>
    <row r="139">
      <c r="A139" s="2">
        <v>138.0</v>
      </c>
      <c r="B139" s="1">
        <v>68.0</v>
      </c>
      <c r="C139" s="1" t="s">
        <v>17</v>
      </c>
      <c r="D139" s="1" t="s">
        <v>22</v>
      </c>
      <c r="E139" s="1">
        <v>2022.0</v>
      </c>
      <c r="F139" s="1" t="s">
        <v>17</v>
      </c>
      <c r="G139" s="1" t="s">
        <v>17</v>
      </c>
      <c r="H139" s="1" t="s">
        <v>17</v>
      </c>
      <c r="I139" s="1" t="s">
        <v>17</v>
      </c>
      <c r="J139" s="1">
        <v>0.0</v>
      </c>
      <c r="K139" s="1">
        <v>0.0</v>
      </c>
      <c r="L139" s="1">
        <v>0.0</v>
      </c>
      <c r="M139" s="1">
        <v>0.0</v>
      </c>
    </row>
    <row r="140">
      <c r="A140" s="2">
        <v>139.0</v>
      </c>
      <c r="B140" s="1">
        <v>69.0</v>
      </c>
      <c r="C140" s="1" t="s">
        <v>16</v>
      </c>
      <c r="D140" s="1" t="s">
        <v>22</v>
      </c>
      <c r="E140" s="1">
        <v>2022.0</v>
      </c>
      <c r="F140" s="1" t="s">
        <v>16</v>
      </c>
      <c r="G140" s="1" t="s">
        <v>16</v>
      </c>
      <c r="H140" s="1" t="s">
        <v>16</v>
      </c>
      <c r="I140" s="1" t="s">
        <v>16</v>
      </c>
      <c r="J140" s="1">
        <v>0.0</v>
      </c>
      <c r="K140" s="1">
        <v>0.0</v>
      </c>
      <c r="L140" s="1">
        <v>0.0</v>
      </c>
      <c r="M140" s="1">
        <v>0.0</v>
      </c>
    </row>
    <row r="141">
      <c r="A141" s="2">
        <v>140.0</v>
      </c>
      <c r="B141" s="1">
        <v>70.0</v>
      </c>
      <c r="C141" s="1" t="s">
        <v>17</v>
      </c>
      <c r="D141" s="1" t="s">
        <v>22</v>
      </c>
      <c r="E141" s="1">
        <v>2022.0</v>
      </c>
      <c r="F141" s="1" t="s">
        <v>17</v>
      </c>
      <c r="G141" s="1" t="s">
        <v>16</v>
      </c>
      <c r="H141" s="1" t="s">
        <v>17</v>
      </c>
      <c r="I141" s="1" t="s">
        <v>17</v>
      </c>
      <c r="J141" s="1">
        <v>0.0</v>
      </c>
      <c r="K141" s="1">
        <v>0.0</v>
      </c>
      <c r="L141" s="1">
        <v>0.0</v>
      </c>
      <c r="M141" s="1">
        <v>0.0</v>
      </c>
    </row>
    <row r="142">
      <c r="A142" s="2">
        <v>141.0</v>
      </c>
      <c r="B142" s="1">
        <v>1.0</v>
      </c>
      <c r="C142" s="1" t="s">
        <v>13</v>
      </c>
      <c r="D142" s="1" t="s">
        <v>14</v>
      </c>
      <c r="E142" s="1">
        <v>2023.0</v>
      </c>
      <c r="F142" s="1" t="s">
        <v>13</v>
      </c>
      <c r="G142" s="1" t="s">
        <v>13</v>
      </c>
      <c r="H142" s="1" t="s">
        <v>13</v>
      </c>
      <c r="I142" s="1" t="s">
        <v>13</v>
      </c>
      <c r="J142" s="1">
        <v>0.0</v>
      </c>
      <c r="K142" s="1">
        <v>1.0</v>
      </c>
      <c r="L142" s="1">
        <v>0.0</v>
      </c>
      <c r="M142" s="1">
        <v>0.0</v>
      </c>
    </row>
    <row r="143">
      <c r="A143" s="2">
        <v>142.0</v>
      </c>
      <c r="B143" s="1">
        <v>2.0</v>
      </c>
      <c r="C143" s="1" t="s">
        <v>16</v>
      </c>
      <c r="D143" s="1" t="s">
        <v>14</v>
      </c>
      <c r="E143" s="1">
        <v>2023.0</v>
      </c>
      <c r="F143" s="1" t="s">
        <v>16</v>
      </c>
      <c r="G143" s="1" t="s">
        <v>16</v>
      </c>
      <c r="H143" s="1" t="s">
        <v>16</v>
      </c>
      <c r="I143" s="1" t="s">
        <v>16</v>
      </c>
      <c r="J143" s="1">
        <v>0.0</v>
      </c>
      <c r="K143" s="1">
        <v>1.0</v>
      </c>
      <c r="L143" s="1">
        <v>0.0</v>
      </c>
      <c r="M143" s="1">
        <v>0.0</v>
      </c>
    </row>
    <row r="144">
      <c r="A144" s="2">
        <v>143.0</v>
      </c>
      <c r="B144" s="1">
        <v>3.0</v>
      </c>
      <c r="C144" s="1" t="s">
        <v>17</v>
      </c>
      <c r="D144" s="1" t="s">
        <v>14</v>
      </c>
      <c r="E144" s="1">
        <v>2023.0</v>
      </c>
      <c r="F144" s="1" t="s">
        <v>17</v>
      </c>
      <c r="G144" s="1" t="s">
        <v>17</v>
      </c>
      <c r="H144" s="1" t="s">
        <v>17</v>
      </c>
      <c r="I144" s="1" t="s">
        <v>17</v>
      </c>
      <c r="J144" s="1">
        <v>0.0</v>
      </c>
      <c r="K144" s="1">
        <v>1.0</v>
      </c>
      <c r="L144" s="1">
        <v>0.0</v>
      </c>
      <c r="M144" s="1">
        <v>0.0</v>
      </c>
    </row>
    <row r="145">
      <c r="A145" s="2">
        <v>144.0</v>
      </c>
      <c r="B145" s="1">
        <v>4.0</v>
      </c>
      <c r="C145" s="1" t="s">
        <v>16</v>
      </c>
      <c r="D145" s="1" t="s">
        <v>14</v>
      </c>
      <c r="E145" s="1">
        <v>2023.0</v>
      </c>
      <c r="F145" s="1" t="s">
        <v>16</v>
      </c>
      <c r="G145" s="1" t="s">
        <v>16</v>
      </c>
      <c r="H145" s="1" t="s">
        <v>16</v>
      </c>
      <c r="I145" s="1" t="s">
        <v>16</v>
      </c>
      <c r="J145" s="1">
        <v>0.0</v>
      </c>
      <c r="K145" s="1">
        <v>0.0</v>
      </c>
      <c r="L145" s="1">
        <v>0.0</v>
      </c>
      <c r="M145" s="1">
        <v>0.0</v>
      </c>
    </row>
    <row r="146">
      <c r="A146" s="2">
        <v>145.0</v>
      </c>
      <c r="B146" s="1">
        <v>5.0</v>
      </c>
      <c r="C146" s="1" t="s">
        <v>13</v>
      </c>
      <c r="D146" s="1" t="s">
        <v>14</v>
      </c>
      <c r="E146" s="1">
        <v>2023.0</v>
      </c>
      <c r="F146" s="1" t="s">
        <v>13</v>
      </c>
      <c r="G146" s="1" t="s">
        <v>13</v>
      </c>
      <c r="H146" s="1" t="s">
        <v>13</v>
      </c>
      <c r="I146" s="1" t="s">
        <v>13</v>
      </c>
      <c r="J146" s="1">
        <v>0.0</v>
      </c>
      <c r="K146" s="1">
        <v>0.0</v>
      </c>
      <c r="L146" s="1">
        <v>0.0</v>
      </c>
      <c r="M146" s="1">
        <v>0.0</v>
      </c>
    </row>
    <row r="147">
      <c r="A147" s="2">
        <v>146.0</v>
      </c>
      <c r="B147" s="1">
        <v>6.0</v>
      </c>
      <c r="C147" s="1" t="s">
        <v>18</v>
      </c>
      <c r="D147" s="1" t="s">
        <v>14</v>
      </c>
      <c r="E147" s="1">
        <v>2023.0</v>
      </c>
      <c r="F147" s="1" t="s">
        <v>18</v>
      </c>
      <c r="G147" s="1" t="s">
        <v>18</v>
      </c>
      <c r="H147" s="1" t="s">
        <v>18</v>
      </c>
      <c r="I147" s="1" t="s">
        <v>18</v>
      </c>
      <c r="J147" s="1">
        <v>0.0</v>
      </c>
      <c r="K147" s="1">
        <v>0.0</v>
      </c>
      <c r="L147" s="1">
        <v>0.0</v>
      </c>
      <c r="M147" s="1">
        <v>0.0</v>
      </c>
    </row>
    <row r="148">
      <c r="A148" s="2">
        <v>147.0</v>
      </c>
      <c r="B148" s="1">
        <v>7.0</v>
      </c>
      <c r="C148" s="1" t="s">
        <v>18</v>
      </c>
      <c r="D148" s="1" t="s">
        <v>14</v>
      </c>
      <c r="E148" s="1">
        <v>2023.0</v>
      </c>
      <c r="F148" s="1" t="s">
        <v>18</v>
      </c>
      <c r="G148" s="1" t="s">
        <v>18</v>
      </c>
      <c r="H148" s="1" t="s">
        <v>18</v>
      </c>
      <c r="I148" s="1" t="s">
        <v>18</v>
      </c>
      <c r="J148" s="1">
        <v>0.0</v>
      </c>
      <c r="K148" s="1">
        <v>1.0</v>
      </c>
      <c r="L148" s="1">
        <v>0.0</v>
      </c>
      <c r="M148" s="1">
        <v>0.0</v>
      </c>
    </row>
    <row r="149">
      <c r="A149" s="2">
        <v>148.0</v>
      </c>
      <c r="B149" s="1">
        <v>8.0</v>
      </c>
      <c r="C149" s="1" t="s">
        <v>13</v>
      </c>
      <c r="D149" s="1" t="s">
        <v>14</v>
      </c>
      <c r="E149" s="1">
        <v>2023.0</v>
      </c>
      <c r="F149" s="1" t="s">
        <v>13</v>
      </c>
      <c r="G149" s="1" t="s">
        <v>13</v>
      </c>
      <c r="H149" s="1" t="s">
        <v>13</v>
      </c>
      <c r="I149" s="1" t="s">
        <v>13</v>
      </c>
      <c r="J149" s="1">
        <v>0.0</v>
      </c>
      <c r="K149" s="1">
        <v>1.0</v>
      </c>
      <c r="L149" s="1">
        <v>0.0</v>
      </c>
      <c r="M149" s="1">
        <v>0.0</v>
      </c>
    </row>
    <row r="150">
      <c r="A150" s="2">
        <v>149.0</v>
      </c>
      <c r="B150" s="1">
        <v>9.0</v>
      </c>
      <c r="C150" s="1" t="s">
        <v>16</v>
      </c>
      <c r="D150" s="1" t="s">
        <v>14</v>
      </c>
      <c r="E150" s="1">
        <v>2023.0</v>
      </c>
      <c r="F150" s="1" t="s">
        <v>16</v>
      </c>
      <c r="G150" s="1" t="s">
        <v>16</v>
      </c>
      <c r="H150" s="1" t="s">
        <v>16</v>
      </c>
      <c r="I150" s="1" t="s">
        <v>16</v>
      </c>
      <c r="J150" s="1">
        <v>0.0</v>
      </c>
      <c r="K150" s="1">
        <v>0.0</v>
      </c>
      <c r="L150" s="1">
        <v>0.0</v>
      </c>
      <c r="M150" s="1">
        <v>0.0</v>
      </c>
    </row>
    <row r="151">
      <c r="A151" s="2">
        <v>150.0</v>
      </c>
      <c r="B151" s="1">
        <v>10.0</v>
      </c>
      <c r="C151" s="1" t="s">
        <v>13</v>
      </c>
      <c r="D151" s="1" t="s">
        <v>14</v>
      </c>
      <c r="E151" s="1">
        <v>2023.0</v>
      </c>
      <c r="F151" s="1" t="s">
        <v>13</v>
      </c>
      <c r="G151" s="1" t="s">
        <v>13</v>
      </c>
      <c r="H151" s="1" t="s">
        <v>13</v>
      </c>
      <c r="I151" s="1" t="s">
        <v>13</v>
      </c>
      <c r="J151" s="1">
        <v>0.0</v>
      </c>
      <c r="K151" s="1">
        <v>0.0</v>
      </c>
      <c r="L151" s="1">
        <v>0.0</v>
      </c>
      <c r="M151" s="1">
        <v>0.0</v>
      </c>
    </row>
    <row r="152">
      <c r="A152" s="2">
        <v>151.0</v>
      </c>
      <c r="B152" s="1">
        <v>11.0</v>
      </c>
      <c r="C152" s="1" t="s">
        <v>16</v>
      </c>
      <c r="D152" s="1" t="s">
        <v>14</v>
      </c>
      <c r="E152" s="1">
        <v>2023.0</v>
      </c>
      <c r="F152" s="1" t="s">
        <v>16</v>
      </c>
      <c r="G152" s="1" t="s">
        <v>16</v>
      </c>
      <c r="H152" s="1" t="s">
        <v>16</v>
      </c>
      <c r="I152" s="1" t="s">
        <v>16</v>
      </c>
      <c r="J152" s="1">
        <v>0.0</v>
      </c>
      <c r="K152" s="1">
        <v>1.0</v>
      </c>
      <c r="L152" s="1">
        <v>0.0</v>
      </c>
      <c r="M152" s="1">
        <v>0.0</v>
      </c>
    </row>
    <row r="153">
      <c r="A153" s="2">
        <v>152.0</v>
      </c>
      <c r="B153" s="1">
        <v>12.0</v>
      </c>
      <c r="C153" s="1" t="s">
        <v>18</v>
      </c>
      <c r="D153" s="1" t="s">
        <v>14</v>
      </c>
      <c r="E153" s="1">
        <v>2023.0</v>
      </c>
      <c r="F153" s="1" t="s">
        <v>18</v>
      </c>
      <c r="G153" s="1" t="s">
        <v>18</v>
      </c>
      <c r="H153" s="1" t="s">
        <v>18</v>
      </c>
      <c r="I153" s="1" t="s">
        <v>18</v>
      </c>
      <c r="J153" s="1">
        <v>0.0</v>
      </c>
      <c r="K153" s="1">
        <v>1.0</v>
      </c>
      <c r="L153" s="1">
        <v>0.0</v>
      </c>
      <c r="M153" s="1">
        <v>0.0</v>
      </c>
    </row>
    <row r="154">
      <c r="A154" s="2">
        <v>153.0</v>
      </c>
      <c r="B154" s="1">
        <v>13.0</v>
      </c>
      <c r="C154" s="1" t="s">
        <v>13</v>
      </c>
      <c r="D154" s="1" t="s">
        <v>14</v>
      </c>
      <c r="E154" s="1">
        <v>2023.0</v>
      </c>
      <c r="F154" s="1" t="s">
        <v>13</v>
      </c>
      <c r="G154" s="1" t="s">
        <v>13</v>
      </c>
      <c r="H154" s="1" t="s">
        <v>13</v>
      </c>
      <c r="I154" s="1" t="s">
        <v>13</v>
      </c>
      <c r="J154" s="1">
        <v>0.0</v>
      </c>
      <c r="K154" s="1">
        <v>0.0</v>
      </c>
      <c r="L154" s="1">
        <v>0.0</v>
      </c>
      <c r="M154" s="1">
        <v>0.0</v>
      </c>
    </row>
    <row r="155">
      <c r="A155" s="2">
        <v>154.0</v>
      </c>
      <c r="B155" s="1">
        <v>14.0</v>
      </c>
      <c r="C155" s="1" t="s">
        <v>13</v>
      </c>
      <c r="D155" s="1" t="s">
        <v>14</v>
      </c>
      <c r="E155" s="1">
        <v>2023.0</v>
      </c>
      <c r="F155" s="1" t="s">
        <v>13</v>
      </c>
      <c r="G155" s="1" t="s">
        <v>13</v>
      </c>
      <c r="H155" s="1" t="s">
        <v>13</v>
      </c>
      <c r="I155" s="1" t="s">
        <v>13</v>
      </c>
      <c r="J155" s="1">
        <v>0.0</v>
      </c>
      <c r="K155" s="1">
        <v>0.0</v>
      </c>
      <c r="L155" s="1">
        <v>1.0</v>
      </c>
      <c r="M155" s="1">
        <v>0.0</v>
      </c>
    </row>
    <row r="156">
      <c r="A156" s="2">
        <v>155.0</v>
      </c>
      <c r="B156" s="1">
        <v>15.0</v>
      </c>
      <c r="C156" s="1" t="s">
        <v>16</v>
      </c>
      <c r="D156" s="1" t="s">
        <v>14</v>
      </c>
      <c r="E156" s="1">
        <v>2023.0</v>
      </c>
      <c r="F156" s="1" t="s">
        <v>16</v>
      </c>
      <c r="G156" s="1" t="s">
        <v>16</v>
      </c>
      <c r="H156" s="1" t="s">
        <v>16</v>
      </c>
      <c r="I156" s="1" t="s">
        <v>16</v>
      </c>
      <c r="J156" s="1">
        <v>0.0</v>
      </c>
      <c r="K156" s="1">
        <v>0.0</v>
      </c>
      <c r="L156" s="1">
        <v>0.0</v>
      </c>
      <c r="M156" s="1">
        <v>0.0</v>
      </c>
    </row>
    <row r="157">
      <c r="A157" s="2">
        <v>156.0</v>
      </c>
      <c r="B157" s="1">
        <v>16.0</v>
      </c>
      <c r="C157" s="1" t="s">
        <v>16</v>
      </c>
      <c r="D157" s="1" t="s">
        <v>14</v>
      </c>
      <c r="E157" s="1">
        <v>2023.0</v>
      </c>
      <c r="F157" s="1" t="s">
        <v>13</v>
      </c>
      <c r="G157" s="1" t="s">
        <v>17</v>
      </c>
      <c r="H157" s="1" t="s">
        <v>18</v>
      </c>
      <c r="I157" s="1" t="s">
        <v>16</v>
      </c>
      <c r="J157" s="1">
        <v>0.0</v>
      </c>
      <c r="K157" s="1">
        <v>1.0</v>
      </c>
      <c r="L157" s="1">
        <v>0.0</v>
      </c>
      <c r="M157" s="1">
        <v>0.0</v>
      </c>
    </row>
    <row r="158">
      <c r="A158" s="5">
        <v>157.0</v>
      </c>
      <c r="B158" s="6">
        <v>17.0</v>
      </c>
      <c r="C158" s="6" t="s">
        <v>21</v>
      </c>
      <c r="D158" s="6" t="s">
        <v>14</v>
      </c>
      <c r="E158" s="6">
        <v>2023.0</v>
      </c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</row>
    <row r="159">
      <c r="A159" s="2">
        <v>158.0</v>
      </c>
      <c r="B159" s="1">
        <v>18.0</v>
      </c>
      <c r="C159" s="1" t="s">
        <v>13</v>
      </c>
      <c r="D159" s="1" t="s">
        <v>14</v>
      </c>
      <c r="E159" s="1">
        <v>2023.0</v>
      </c>
      <c r="F159" s="1" t="s">
        <v>13</v>
      </c>
      <c r="G159" s="1" t="s">
        <v>13</v>
      </c>
      <c r="H159" s="1" t="s">
        <v>13</v>
      </c>
      <c r="I159" s="1" t="s">
        <v>13</v>
      </c>
      <c r="J159" s="1">
        <v>0.0</v>
      </c>
      <c r="K159" s="1">
        <v>0.0</v>
      </c>
      <c r="L159" s="1">
        <v>0.0</v>
      </c>
      <c r="M159" s="1">
        <v>0.0</v>
      </c>
    </row>
    <row r="160">
      <c r="A160" s="2">
        <v>159.0</v>
      </c>
      <c r="B160" s="1">
        <v>19.0</v>
      </c>
      <c r="C160" s="1" t="s">
        <v>15</v>
      </c>
      <c r="D160" s="1" t="s">
        <v>14</v>
      </c>
      <c r="E160" s="1">
        <v>2023.0</v>
      </c>
      <c r="F160" s="1" t="s">
        <v>15</v>
      </c>
      <c r="G160" s="1" t="s">
        <v>15</v>
      </c>
      <c r="H160" s="1" t="s">
        <v>15</v>
      </c>
      <c r="I160" s="1" t="s">
        <v>15</v>
      </c>
      <c r="J160" s="1">
        <v>0.0</v>
      </c>
      <c r="K160" s="1">
        <v>0.0</v>
      </c>
      <c r="L160" s="1">
        <v>1.0</v>
      </c>
      <c r="M160" s="1">
        <v>0.0</v>
      </c>
    </row>
    <row r="161">
      <c r="A161" s="2">
        <v>160.0</v>
      </c>
      <c r="B161" s="1">
        <v>20.0</v>
      </c>
      <c r="C161" s="1" t="s">
        <v>15</v>
      </c>
      <c r="D161" s="1" t="s">
        <v>14</v>
      </c>
      <c r="E161" s="1">
        <v>2023.0</v>
      </c>
      <c r="F161" s="1" t="s">
        <v>15</v>
      </c>
      <c r="G161" s="1" t="s">
        <v>15</v>
      </c>
      <c r="H161" s="1" t="s">
        <v>15</v>
      </c>
      <c r="I161" s="1" t="s">
        <v>15</v>
      </c>
      <c r="J161" s="1">
        <v>0.0</v>
      </c>
      <c r="K161" s="1">
        <v>0.0</v>
      </c>
      <c r="L161" s="1">
        <v>0.0</v>
      </c>
      <c r="M161" s="1">
        <v>0.0</v>
      </c>
    </row>
    <row r="162">
      <c r="A162" s="2">
        <v>161.0</v>
      </c>
      <c r="B162" s="1">
        <v>21.0</v>
      </c>
      <c r="C162" s="1" t="s">
        <v>17</v>
      </c>
      <c r="D162" s="1" t="s">
        <v>20</v>
      </c>
      <c r="E162" s="1">
        <v>2023.0</v>
      </c>
      <c r="F162" s="1" t="s">
        <v>17</v>
      </c>
      <c r="G162" s="1" t="s">
        <v>17</v>
      </c>
      <c r="H162" s="1" t="s">
        <v>17</v>
      </c>
      <c r="I162" s="1" t="s">
        <v>17</v>
      </c>
      <c r="J162" s="1">
        <v>0.0</v>
      </c>
      <c r="K162" s="1">
        <v>0.0</v>
      </c>
      <c r="L162" s="1">
        <v>0.0</v>
      </c>
      <c r="M162" s="1">
        <v>0.0</v>
      </c>
    </row>
    <row r="163">
      <c r="A163" s="2">
        <v>162.0</v>
      </c>
      <c r="B163" s="1">
        <v>22.0</v>
      </c>
      <c r="C163" s="1" t="s">
        <v>17</v>
      </c>
      <c r="D163" s="1" t="s">
        <v>20</v>
      </c>
      <c r="E163" s="1">
        <v>2023.0</v>
      </c>
      <c r="F163" s="1" t="s">
        <v>17</v>
      </c>
      <c r="G163" s="1" t="s">
        <v>17</v>
      </c>
      <c r="H163" s="1" t="s">
        <v>17</v>
      </c>
      <c r="I163" s="1" t="s">
        <v>17</v>
      </c>
      <c r="J163" s="1">
        <v>0.0</v>
      </c>
      <c r="K163" s="1">
        <v>0.0</v>
      </c>
      <c r="L163" s="1">
        <v>0.0</v>
      </c>
      <c r="M163" s="1">
        <v>0.0</v>
      </c>
    </row>
    <row r="164">
      <c r="A164" s="2">
        <v>163.0</v>
      </c>
      <c r="B164" s="1">
        <v>23.0</v>
      </c>
      <c r="C164" s="1" t="s">
        <v>17</v>
      </c>
      <c r="D164" s="1" t="s">
        <v>20</v>
      </c>
      <c r="E164" s="1">
        <v>2023.0</v>
      </c>
      <c r="F164" s="1" t="s">
        <v>17</v>
      </c>
      <c r="G164" s="1" t="s">
        <v>17</v>
      </c>
      <c r="H164" s="1" t="s">
        <v>13</v>
      </c>
      <c r="I164" s="1" t="s">
        <v>17</v>
      </c>
      <c r="J164" s="1">
        <v>0.0</v>
      </c>
      <c r="K164" s="1">
        <v>0.0</v>
      </c>
      <c r="L164" s="1">
        <v>0.0</v>
      </c>
      <c r="M164" s="1">
        <v>1.0</v>
      </c>
    </row>
    <row r="165">
      <c r="A165" s="2">
        <v>164.0</v>
      </c>
      <c r="B165" s="1">
        <v>24.0</v>
      </c>
      <c r="C165" s="1" t="s">
        <v>15</v>
      </c>
      <c r="D165" s="1" t="s">
        <v>20</v>
      </c>
      <c r="E165" s="1">
        <v>2023.0</v>
      </c>
      <c r="F165" s="1" t="s">
        <v>15</v>
      </c>
      <c r="G165" s="1" t="s">
        <v>15</v>
      </c>
      <c r="H165" s="1" t="s">
        <v>15</v>
      </c>
      <c r="I165" s="1" t="s">
        <v>15</v>
      </c>
      <c r="J165" s="1">
        <v>0.0</v>
      </c>
      <c r="K165" s="1">
        <v>0.0</v>
      </c>
      <c r="L165" s="1">
        <v>0.0</v>
      </c>
      <c r="M165" s="1">
        <v>0.0</v>
      </c>
    </row>
    <row r="166">
      <c r="A166" s="2">
        <v>165.0</v>
      </c>
      <c r="B166" s="1">
        <v>25.0</v>
      </c>
      <c r="C166" s="1" t="s">
        <v>17</v>
      </c>
      <c r="D166" s="1" t="s">
        <v>20</v>
      </c>
      <c r="E166" s="1">
        <v>2023.0</v>
      </c>
      <c r="F166" s="1" t="s">
        <v>17</v>
      </c>
      <c r="G166" s="1" t="s">
        <v>17</v>
      </c>
      <c r="H166" s="1" t="s">
        <v>13</v>
      </c>
      <c r="I166" s="1" t="s">
        <v>17</v>
      </c>
      <c r="J166" s="1">
        <v>0.0</v>
      </c>
      <c r="K166" s="1">
        <v>0.0</v>
      </c>
      <c r="L166" s="1">
        <v>0.0</v>
      </c>
      <c r="M166" s="1">
        <v>0.0</v>
      </c>
    </row>
    <row r="167">
      <c r="A167" s="2">
        <v>166.0</v>
      </c>
      <c r="B167" s="1">
        <v>26.0</v>
      </c>
      <c r="C167" s="1" t="s">
        <v>18</v>
      </c>
      <c r="D167" s="1" t="s">
        <v>20</v>
      </c>
      <c r="E167" s="1">
        <v>2023.0</v>
      </c>
      <c r="F167" s="1" t="s">
        <v>18</v>
      </c>
      <c r="G167" s="1" t="s">
        <v>18</v>
      </c>
      <c r="H167" s="1" t="s">
        <v>18</v>
      </c>
      <c r="I167" s="1" t="s">
        <v>18</v>
      </c>
      <c r="J167" s="1">
        <v>0.0</v>
      </c>
      <c r="K167" s="1">
        <v>0.0</v>
      </c>
      <c r="L167" s="1">
        <v>0.0</v>
      </c>
      <c r="M167" s="1">
        <v>0.0</v>
      </c>
    </row>
    <row r="168">
      <c r="A168" s="2">
        <v>167.0</v>
      </c>
      <c r="B168" s="1">
        <v>27.0</v>
      </c>
      <c r="C168" s="1" t="s">
        <v>18</v>
      </c>
      <c r="D168" s="1" t="s">
        <v>20</v>
      </c>
      <c r="E168" s="1">
        <v>2023.0</v>
      </c>
      <c r="F168" s="1" t="s">
        <v>18</v>
      </c>
      <c r="G168" s="1" t="s">
        <v>18</v>
      </c>
      <c r="H168" s="1" t="s">
        <v>18</v>
      </c>
      <c r="I168" s="1" t="s">
        <v>18</v>
      </c>
      <c r="J168" s="1">
        <v>0.0</v>
      </c>
      <c r="K168" s="1">
        <v>0.0</v>
      </c>
      <c r="L168" s="1">
        <v>0.0</v>
      </c>
      <c r="M168" s="1">
        <v>0.0</v>
      </c>
    </row>
    <row r="169">
      <c r="A169" s="2">
        <v>168.0</v>
      </c>
      <c r="B169" s="1">
        <v>28.0</v>
      </c>
      <c r="C169" s="1" t="s">
        <v>16</v>
      </c>
      <c r="D169" s="1" t="s">
        <v>20</v>
      </c>
      <c r="E169" s="1">
        <v>2023.0</v>
      </c>
      <c r="F169" s="1" t="s">
        <v>16</v>
      </c>
      <c r="G169" s="1" t="s">
        <v>16</v>
      </c>
      <c r="H169" s="1" t="s">
        <v>16</v>
      </c>
      <c r="I169" s="1" t="s">
        <v>16</v>
      </c>
      <c r="J169" s="1">
        <v>0.0</v>
      </c>
      <c r="K169" s="1">
        <v>1.0</v>
      </c>
      <c r="L169" s="1">
        <v>0.0</v>
      </c>
      <c r="M169" s="1">
        <v>0.0</v>
      </c>
    </row>
    <row r="170">
      <c r="A170" s="2">
        <v>169.0</v>
      </c>
      <c r="B170" s="1">
        <v>29.0</v>
      </c>
      <c r="C170" s="1" t="s">
        <v>18</v>
      </c>
      <c r="D170" s="1" t="s">
        <v>20</v>
      </c>
      <c r="E170" s="1">
        <v>2023.0</v>
      </c>
      <c r="F170" s="1" t="s">
        <v>15</v>
      </c>
      <c r="G170" s="1" t="s">
        <v>15</v>
      </c>
      <c r="H170" s="1" t="s">
        <v>15</v>
      </c>
      <c r="I170" s="1" t="s">
        <v>15</v>
      </c>
      <c r="J170" s="1">
        <v>0.0</v>
      </c>
      <c r="K170" s="1">
        <v>0.0</v>
      </c>
      <c r="L170" s="1">
        <v>0.0</v>
      </c>
      <c r="M170" s="1">
        <v>0.0</v>
      </c>
    </row>
    <row r="171">
      <c r="A171" s="2">
        <v>170.0</v>
      </c>
      <c r="B171" s="1">
        <v>30.0</v>
      </c>
      <c r="C171" s="1" t="s">
        <v>17</v>
      </c>
      <c r="D171" s="1" t="s">
        <v>20</v>
      </c>
      <c r="E171" s="1">
        <v>2023.0</v>
      </c>
      <c r="F171" s="1" t="s">
        <v>17</v>
      </c>
      <c r="G171" s="1" t="s">
        <v>17</v>
      </c>
      <c r="H171" s="1" t="s">
        <v>17</v>
      </c>
      <c r="I171" s="1" t="s">
        <v>17</v>
      </c>
      <c r="J171" s="1">
        <v>0.0</v>
      </c>
      <c r="K171" s="1">
        <v>1.0</v>
      </c>
      <c r="L171" s="1">
        <v>0.0</v>
      </c>
      <c r="M171" s="1">
        <v>0.0</v>
      </c>
    </row>
    <row r="172">
      <c r="A172" s="2">
        <v>171.0</v>
      </c>
      <c r="B172" s="1">
        <v>31.0</v>
      </c>
      <c r="C172" s="1" t="s">
        <v>18</v>
      </c>
      <c r="D172" s="1" t="s">
        <v>20</v>
      </c>
      <c r="E172" s="1">
        <v>2023.0</v>
      </c>
      <c r="F172" s="1" t="s">
        <v>18</v>
      </c>
      <c r="G172" s="1" t="s">
        <v>16</v>
      </c>
      <c r="H172" s="1" t="s">
        <v>18</v>
      </c>
      <c r="I172" s="1" t="s">
        <v>18</v>
      </c>
      <c r="J172" s="1">
        <v>1.0</v>
      </c>
      <c r="K172" s="1">
        <v>0.0</v>
      </c>
      <c r="L172" s="1">
        <v>0.0</v>
      </c>
      <c r="M172" s="1">
        <v>0.0</v>
      </c>
    </row>
    <row r="173">
      <c r="A173" s="2">
        <v>172.0</v>
      </c>
      <c r="B173" s="1">
        <v>32.0</v>
      </c>
      <c r="C173" s="1" t="s">
        <v>13</v>
      </c>
      <c r="D173" s="1" t="s">
        <v>20</v>
      </c>
      <c r="E173" s="1">
        <v>2023.0</v>
      </c>
      <c r="F173" s="1" t="s">
        <v>13</v>
      </c>
      <c r="G173" s="1" t="s">
        <v>13</v>
      </c>
      <c r="H173" s="1" t="s">
        <v>16</v>
      </c>
      <c r="I173" s="1" t="s">
        <v>18</v>
      </c>
      <c r="J173" s="1">
        <v>1.0</v>
      </c>
      <c r="K173" s="1">
        <v>1.0</v>
      </c>
      <c r="L173" s="1">
        <v>0.0</v>
      </c>
      <c r="M173" s="1">
        <v>0.0</v>
      </c>
    </row>
    <row r="174">
      <c r="A174" s="2">
        <v>173.0</v>
      </c>
      <c r="B174" s="1">
        <v>33.0</v>
      </c>
      <c r="C174" s="1" t="s">
        <v>17</v>
      </c>
      <c r="D174" s="1" t="s">
        <v>20</v>
      </c>
      <c r="E174" s="1">
        <v>2023.0</v>
      </c>
      <c r="F174" s="1" t="s">
        <v>17</v>
      </c>
      <c r="G174" s="1" t="s">
        <v>17</v>
      </c>
      <c r="H174" s="1" t="s">
        <v>17</v>
      </c>
      <c r="I174" s="1" t="s">
        <v>17</v>
      </c>
      <c r="J174" s="1">
        <v>0.0</v>
      </c>
      <c r="K174" s="1">
        <v>0.0</v>
      </c>
      <c r="L174" s="1">
        <v>0.0</v>
      </c>
      <c r="M174" s="1">
        <v>1.0</v>
      </c>
    </row>
    <row r="175">
      <c r="A175" s="2">
        <v>174.0</v>
      </c>
      <c r="B175" s="1">
        <v>34.0</v>
      </c>
      <c r="C175" s="1" t="s">
        <v>18</v>
      </c>
      <c r="D175" s="1" t="s">
        <v>20</v>
      </c>
      <c r="E175" s="1">
        <v>2023.0</v>
      </c>
      <c r="F175" s="1" t="s">
        <v>18</v>
      </c>
      <c r="G175" s="1" t="s">
        <v>16</v>
      </c>
      <c r="H175" s="1" t="s">
        <v>18</v>
      </c>
      <c r="I175" s="1" t="s">
        <v>18</v>
      </c>
      <c r="J175" s="1">
        <v>1.0</v>
      </c>
      <c r="K175" s="1">
        <v>0.0</v>
      </c>
      <c r="L175" s="1">
        <v>0.0</v>
      </c>
      <c r="M175" s="1">
        <v>0.0</v>
      </c>
    </row>
    <row r="176">
      <c r="A176" s="2">
        <v>175.0</v>
      </c>
      <c r="B176" s="1">
        <v>35.0</v>
      </c>
      <c r="C176" s="1" t="s">
        <v>17</v>
      </c>
      <c r="D176" s="1" t="s">
        <v>20</v>
      </c>
      <c r="E176" s="1">
        <v>2023.0</v>
      </c>
      <c r="F176" s="1" t="s">
        <v>17</v>
      </c>
      <c r="G176" s="1" t="s">
        <v>17</v>
      </c>
      <c r="H176" s="1" t="s">
        <v>17</v>
      </c>
      <c r="I176" s="1" t="s">
        <v>17</v>
      </c>
      <c r="J176" s="1">
        <v>0.0</v>
      </c>
      <c r="K176" s="1">
        <v>0.0</v>
      </c>
      <c r="L176" s="1">
        <v>0.0</v>
      </c>
      <c r="M176" s="1">
        <v>0.0</v>
      </c>
    </row>
    <row r="177">
      <c r="A177" s="2">
        <v>176.0</v>
      </c>
      <c r="B177" s="1">
        <v>36.0</v>
      </c>
      <c r="C177" s="1" t="s">
        <v>15</v>
      </c>
      <c r="D177" s="1" t="s">
        <v>20</v>
      </c>
      <c r="E177" s="1">
        <v>2023.0</v>
      </c>
      <c r="F177" s="1" t="s">
        <v>16</v>
      </c>
      <c r="G177" s="1" t="s">
        <v>15</v>
      </c>
      <c r="H177" s="8" t="s">
        <v>18</v>
      </c>
      <c r="I177" s="8" t="s">
        <v>15</v>
      </c>
      <c r="J177" s="1">
        <v>0.0</v>
      </c>
      <c r="K177" s="1">
        <v>0.0</v>
      </c>
      <c r="L177" s="1">
        <v>0.0</v>
      </c>
      <c r="M177" s="1">
        <v>0.0</v>
      </c>
    </row>
    <row r="178">
      <c r="A178" s="2">
        <v>177.0</v>
      </c>
      <c r="B178" s="1">
        <v>37.0</v>
      </c>
      <c r="C178" s="1" t="s">
        <v>16</v>
      </c>
      <c r="D178" s="1" t="s">
        <v>20</v>
      </c>
      <c r="E178" s="1">
        <v>2023.0</v>
      </c>
      <c r="F178" s="1" t="s">
        <v>16</v>
      </c>
      <c r="G178" s="1" t="s">
        <v>16</v>
      </c>
      <c r="H178" s="8" t="s">
        <v>16</v>
      </c>
      <c r="I178" s="8" t="s">
        <v>16</v>
      </c>
      <c r="J178" s="1">
        <v>0.0</v>
      </c>
      <c r="K178" s="1">
        <v>0.0</v>
      </c>
      <c r="L178" s="1">
        <v>0.0</v>
      </c>
      <c r="M178" s="1">
        <v>0.0</v>
      </c>
    </row>
    <row r="179">
      <c r="A179" s="2">
        <v>178.0</v>
      </c>
      <c r="B179" s="1">
        <v>38.0</v>
      </c>
      <c r="C179" s="1" t="s">
        <v>15</v>
      </c>
      <c r="D179" s="1" t="s">
        <v>20</v>
      </c>
      <c r="E179" s="1">
        <v>2023.0</v>
      </c>
      <c r="F179" s="1" t="s">
        <v>15</v>
      </c>
      <c r="G179" s="1" t="s">
        <v>18</v>
      </c>
      <c r="H179" s="8" t="s">
        <v>15</v>
      </c>
      <c r="I179" s="8" t="s">
        <v>18</v>
      </c>
      <c r="J179" s="1">
        <v>0.0</v>
      </c>
      <c r="K179" s="1">
        <v>0.0</v>
      </c>
      <c r="L179" s="1">
        <v>0.0</v>
      </c>
      <c r="M179" s="1">
        <v>0.0</v>
      </c>
    </row>
    <row r="180">
      <c r="A180" s="2">
        <v>179.0</v>
      </c>
      <c r="B180" s="1">
        <v>39.0</v>
      </c>
      <c r="C180" s="1" t="s">
        <v>16</v>
      </c>
      <c r="D180" s="1" t="s">
        <v>20</v>
      </c>
      <c r="E180" s="1">
        <v>2023.0</v>
      </c>
      <c r="F180" s="1" t="s">
        <v>16</v>
      </c>
      <c r="G180" s="1" t="s">
        <v>16</v>
      </c>
      <c r="H180" s="8" t="s">
        <v>16</v>
      </c>
      <c r="I180" s="8" t="s">
        <v>16</v>
      </c>
      <c r="J180" s="1">
        <v>0.0</v>
      </c>
      <c r="K180" s="1">
        <v>0.0</v>
      </c>
      <c r="L180" s="1">
        <v>0.0</v>
      </c>
      <c r="M180" s="1">
        <v>0.0</v>
      </c>
    </row>
    <row r="181">
      <c r="A181" s="2">
        <v>180.0</v>
      </c>
      <c r="B181" s="1">
        <v>40.0</v>
      </c>
      <c r="C181" s="1" t="s">
        <v>17</v>
      </c>
      <c r="D181" s="1" t="s">
        <v>20</v>
      </c>
      <c r="E181" s="1">
        <v>2023.0</v>
      </c>
      <c r="F181" s="1" t="s">
        <v>17</v>
      </c>
      <c r="G181" s="1" t="s">
        <v>17</v>
      </c>
      <c r="H181" s="8" t="s">
        <v>17</v>
      </c>
      <c r="I181" s="8" t="s">
        <v>17</v>
      </c>
      <c r="J181" s="1">
        <v>0.0</v>
      </c>
      <c r="K181" s="1">
        <v>0.0</v>
      </c>
      <c r="L181" s="1">
        <v>0.0</v>
      </c>
      <c r="M181" s="1">
        <v>0.0</v>
      </c>
    </row>
    <row r="182">
      <c r="A182" s="2">
        <v>181.0</v>
      </c>
      <c r="B182" s="1">
        <v>41.0</v>
      </c>
      <c r="C182" s="1" t="s">
        <v>17</v>
      </c>
      <c r="D182" s="1" t="s">
        <v>20</v>
      </c>
      <c r="E182" s="1">
        <v>2023.0</v>
      </c>
      <c r="F182" s="1" t="s">
        <v>17</v>
      </c>
      <c r="G182" s="1" t="s">
        <v>17</v>
      </c>
      <c r="H182" s="8" t="s">
        <v>17</v>
      </c>
      <c r="I182" s="8" t="s">
        <v>17</v>
      </c>
      <c r="J182" s="1">
        <v>0.0</v>
      </c>
      <c r="K182" s="1">
        <v>0.0</v>
      </c>
      <c r="L182" s="1">
        <v>0.0</v>
      </c>
      <c r="M182" s="1">
        <v>0.0</v>
      </c>
    </row>
    <row r="183">
      <c r="A183" s="2">
        <v>182.0</v>
      </c>
      <c r="B183" s="1">
        <v>42.0</v>
      </c>
      <c r="C183" s="1" t="s">
        <v>16</v>
      </c>
      <c r="D183" s="1" t="s">
        <v>20</v>
      </c>
      <c r="E183" s="1">
        <v>2023.0</v>
      </c>
      <c r="F183" s="1" t="s">
        <v>16</v>
      </c>
      <c r="G183" s="1" t="s">
        <v>16</v>
      </c>
      <c r="H183" s="8" t="s">
        <v>16</v>
      </c>
      <c r="I183" s="8" t="s">
        <v>16</v>
      </c>
      <c r="J183" s="1">
        <v>0.0</v>
      </c>
      <c r="K183" s="1">
        <v>0.0</v>
      </c>
      <c r="L183" s="1">
        <v>0.0</v>
      </c>
      <c r="M183" s="1">
        <v>0.0</v>
      </c>
    </row>
    <row r="184">
      <c r="A184" s="2">
        <v>183.0</v>
      </c>
      <c r="B184" s="1">
        <v>43.0</v>
      </c>
      <c r="C184" s="1" t="s">
        <v>17</v>
      </c>
      <c r="D184" s="1" t="s">
        <v>20</v>
      </c>
      <c r="E184" s="1">
        <v>2023.0</v>
      </c>
      <c r="F184" s="1" t="s">
        <v>17</v>
      </c>
      <c r="G184" s="1" t="s">
        <v>17</v>
      </c>
      <c r="H184" s="8" t="s">
        <v>17</v>
      </c>
      <c r="I184" s="8" t="s">
        <v>17</v>
      </c>
      <c r="J184" s="1">
        <v>0.0</v>
      </c>
      <c r="K184" s="1">
        <v>0.0</v>
      </c>
      <c r="L184" s="1">
        <v>0.0</v>
      </c>
      <c r="M184" s="1">
        <v>0.0</v>
      </c>
    </row>
    <row r="185">
      <c r="A185" s="2">
        <v>184.0</v>
      </c>
      <c r="B185" s="1">
        <v>44.0</v>
      </c>
      <c r="C185" s="1" t="s">
        <v>15</v>
      </c>
      <c r="D185" s="1" t="s">
        <v>20</v>
      </c>
      <c r="E185" s="1">
        <v>2023.0</v>
      </c>
      <c r="F185" s="1" t="s">
        <v>15</v>
      </c>
      <c r="G185" s="1" t="s">
        <v>15</v>
      </c>
      <c r="H185" s="8" t="s">
        <v>15</v>
      </c>
      <c r="I185" s="8" t="s">
        <v>15</v>
      </c>
      <c r="J185" s="1">
        <v>0.0</v>
      </c>
      <c r="K185" s="1">
        <v>0.0</v>
      </c>
      <c r="L185" s="1">
        <v>0.0</v>
      </c>
      <c r="M185" s="1">
        <v>1.0</v>
      </c>
    </row>
    <row r="186">
      <c r="A186" s="2">
        <v>185.0</v>
      </c>
      <c r="B186" s="1">
        <v>45.0</v>
      </c>
      <c r="C186" s="1" t="s">
        <v>18</v>
      </c>
      <c r="D186" s="1" t="s">
        <v>20</v>
      </c>
      <c r="E186" s="1">
        <v>2023.0</v>
      </c>
      <c r="F186" s="1" t="s">
        <v>18</v>
      </c>
      <c r="G186" s="1" t="s">
        <v>18</v>
      </c>
      <c r="H186" s="8" t="s">
        <v>18</v>
      </c>
      <c r="I186" s="8" t="s">
        <v>18</v>
      </c>
      <c r="J186" s="1">
        <v>0.0</v>
      </c>
      <c r="K186" s="1">
        <v>0.0</v>
      </c>
      <c r="L186" s="1">
        <v>0.0</v>
      </c>
      <c r="M186" s="1">
        <v>0.0</v>
      </c>
    </row>
    <row r="187">
      <c r="A187" s="2">
        <v>186.0</v>
      </c>
      <c r="B187" s="1">
        <v>46.0</v>
      </c>
      <c r="C187" s="1" t="s">
        <v>17</v>
      </c>
      <c r="D187" s="1" t="s">
        <v>20</v>
      </c>
      <c r="E187" s="1">
        <v>2023.0</v>
      </c>
      <c r="F187" s="1" t="s">
        <v>17</v>
      </c>
      <c r="G187" s="1" t="s">
        <v>17</v>
      </c>
      <c r="H187" s="8" t="s">
        <v>17</v>
      </c>
      <c r="I187" s="8" t="s">
        <v>17</v>
      </c>
      <c r="J187" s="1">
        <v>0.0</v>
      </c>
      <c r="K187" s="1">
        <v>0.0</v>
      </c>
      <c r="L187" s="1">
        <v>0.0</v>
      </c>
      <c r="M187" s="1">
        <v>0.0</v>
      </c>
    </row>
    <row r="188">
      <c r="A188" s="2">
        <v>187.0</v>
      </c>
      <c r="B188" s="1">
        <v>47.0</v>
      </c>
      <c r="C188" s="1" t="s">
        <v>15</v>
      </c>
      <c r="D188" s="1" t="s">
        <v>20</v>
      </c>
      <c r="E188" s="1">
        <v>2023.0</v>
      </c>
      <c r="F188" s="1" t="s">
        <v>15</v>
      </c>
      <c r="G188" s="1" t="s">
        <v>15</v>
      </c>
      <c r="H188" s="8" t="s">
        <v>15</v>
      </c>
      <c r="I188" s="8" t="s">
        <v>15</v>
      </c>
      <c r="J188" s="1">
        <v>0.0</v>
      </c>
      <c r="K188" s="1">
        <v>0.0</v>
      </c>
      <c r="L188" s="1">
        <v>0.0</v>
      </c>
      <c r="M188" s="1">
        <v>0.0</v>
      </c>
    </row>
    <row r="189">
      <c r="A189" s="2">
        <v>188.0</v>
      </c>
      <c r="B189" s="1">
        <v>48.0</v>
      </c>
      <c r="C189" s="1" t="s">
        <v>15</v>
      </c>
      <c r="D189" s="1" t="s">
        <v>20</v>
      </c>
      <c r="E189" s="1">
        <v>2023.0</v>
      </c>
      <c r="F189" s="1" t="s">
        <v>15</v>
      </c>
      <c r="G189" s="1" t="s">
        <v>15</v>
      </c>
      <c r="H189" s="8" t="s">
        <v>15</v>
      </c>
      <c r="I189" s="8" t="s">
        <v>15</v>
      </c>
      <c r="J189" s="1">
        <v>0.0</v>
      </c>
      <c r="K189" s="1">
        <v>0.0</v>
      </c>
      <c r="L189" s="1">
        <v>0.0</v>
      </c>
      <c r="M189" s="1">
        <v>0.0</v>
      </c>
    </row>
    <row r="190">
      <c r="A190" s="2">
        <v>189.0</v>
      </c>
      <c r="B190" s="1">
        <v>49.0</v>
      </c>
      <c r="C190" s="1" t="s">
        <v>13</v>
      </c>
      <c r="D190" s="1" t="s">
        <v>20</v>
      </c>
      <c r="E190" s="1">
        <v>2023.0</v>
      </c>
      <c r="F190" s="1" t="s">
        <v>13</v>
      </c>
      <c r="G190" s="1" t="s">
        <v>13</v>
      </c>
      <c r="H190" s="8" t="s">
        <v>13</v>
      </c>
      <c r="I190" s="8" t="s">
        <v>13</v>
      </c>
      <c r="J190" s="1">
        <v>0.0</v>
      </c>
      <c r="K190" s="1">
        <v>0.0</v>
      </c>
      <c r="L190" s="1">
        <v>0.0</v>
      </c>
      <c r="M190" s="1">
        <v>0.0</v>
      </c>
    </row>
    <row r="191">
      <c r="A191" s="2">
        <v>190.0</v>
      </c>
      <c r="B191" s="1">
        <v>50.0</v>
      </c>
      <c r="C191" s="1" t="s">
        <v>15</v>
      </c>
      <c r="D191" s="1" t="s">
        <v>20</v>
      </c>
      <c r="E191" s="1">
        <v>2023.0</v>
      </c>
      <c r="F191" s="1" t="s">
        <v>15</v>
      </c>
      <c r="G191" s="1" t="s">
        <v>15</v>
      </c>
      <c r="H191" s="8" t="s">
        <v>15</v>
      </c>
      <c r="I191" s="8" t="s">
        <v>15</v>
      </c>
      <c r="J191" s="1">
        <v>0.0</v>
      </c>
      <c r="K191" s="1">
        <v>0.0</v>
      </c>
      <c r="L191" s="1">
        <v>0.0</v>
      </c>
      <c r="M191" s="1">
        <v>0.0</v>
      </c>
    </row>
    <row r="192">
      <c r="A192" s="2">
        <v>191.0</v>
      </c>
      <c r="B192" s="1">
        <v>51.0</v>
      </c>
      <c r="C192" s="1" t="s">
        <v>16</v>
      </c>
      <c r="D192" s="1" t="s">
        <v>22</v>
      </c>
      <c r="E192" s="1">
        <v>2023.0</v>
      </c>
      <c r="F192" s="1" t="s">
        <v>16</v>
      </c>
      <c r="G192" s="1" t="s">
        <v>16</v>
      </c>
      <c r="H192" s="8" t="s">
        <v>16</v>
      </c>
      <c r="I192" s="8" t="s">
        <v>16</v>
      </c>
      <c r="J192" s="1">
        <v>0.0</v>
      </c>
      <c r="K192" s="1">
        <v>0.0</v>
      </c>
      <c r="L192" s="1">
        <v>0.0</v>
      </c>
      <c r="M192" s="1">
        <v>0.0</v>
      </c>
    </row>
    <row r="193">
      <c r="A193" s="2">
        <v>192.0</v>
      </c>
      <c r="B193" s="1">
        <v>52.0</v>
      </c>
      <c r="C193" s="1" t="s">
        <v>13</v>
      </c>
      <c r="D193" s="1" t="s">
        <v>22</v>
      </c>
      <c r="E193" s="1">
        <v>2023.0</v>
      </c>
      <c r="F193" s="1" t="s">
        <v>13</v>
      </c>
      <c r="G193" s="1" t="s">
        <v>13</v>
      </c>
      <c r="H193" s="8" t="s">
        <v>13</v>
      </c>
      <c r="I193" s="8" t="s">
        <v>13</v>
      </c>
      <c r="J193" s="1">
        <v>0.0</v>
      </c>
      <c r="K193" s="1">
        <v>0.0</v>
      </c>
      <c r="L193" s="1">
        <v>0.0</v>
      </c>
      <c r="M193" s="1">
        <v>0.0</v>
      </c>
    </row>
    <row r="194">
      <c r="A194" s="2">
        <v>193.0</v>
      </c>
      <c r="B194" s="1">
        <v>53.0</v>
      </c>
      <c r="C194" s="1" t="s">
        <v>15</v>
      </c>
      <c r="D194" s="1" t="s">
        <v>22</v>
      </c>
      <c r="E194" s="1">
        <v>2023.0</v>
      </c>
      <c r="F194" s="1" t="s">
        <v>15</v>
      </c>
      <c r="G194" s="1" t="s">
        <v>15</v>
      </c>
      <c r="H194" s="8" t="s">
        <v>15</v>
      </c>
      <c r="I194" s="8" t="s">
        <v>15</v>
      </c>
      <c r="J194" s="1">
        <v>0.0</v>
      </c>
      <c r="K194" s="1">
        <v>0.0</v>
      </c>
      <c r="L194" s="1">
        <v>0.0</v>
      </c>
      <c r="M194" s="1">
        <v>0.0</v>
      </c>
    </row>
    <row r="195">
      <c r="A195" s="2">
        <v>194.0</v>
      </c>
      <c r="B195" s="1">
        <v>54.0</v>
      </c>
      <c r="C195" s="1" t="s">
        <v>17</v>
      </c>
      <c r="D195" s="1" t="s">
        <v>22</v>
      </c>
      <c r="E195" s="1">
        <v>2023.0</v>
      </c>
      <c r="F195" s="1" t="s">
        <v>17</v>
      </c>
      <c r="G195" s="1" t="s">
        <v>16</v>
      </c>
      <c r="H195" s="8" t="s">
        <v>16</v>
      </c>
      <c r="I195" s="8" t="s">
        <v>13</v>
      </c>
      <c r="J195" s="1">
        <v>0.0</v>
      </c>
      <c r="K195" s="1">
        <v>1.0</v>
      </c>
      <c r="L195" s="1">
        <v>1.0</v>
      </c>
      <c r="M195" s="1">
        <v>0.0</v>
      </c>
    </row>
    <row r="196">
      <c r="A196" s="2">
        <v>195.0</v>
      </c>
      <c r="B196" s="1">
        <v>55.0</v>
      </c>
      <c r="C196" s="1" t="s">
        <v>13</v>
      </c>
      <c r="D196" s="1" t="s">
        <v>22</v>
      </c>
      <c r="E196" s="1">
        <v>2023.0</v>
      </c>
      <c r="F196" s="1" t="s">
        <v>13</v>
      </c>
      <c r="G196" s="1" t="s">
        <v>13</v>
      </c>
      <c r="H196" s="8" t="s">
        <v>13</v>
      </c>
      <c r="I196" s="8" t="s">
        <v>13</v>
      </c>
      <c r="J196" s="1">
        <v>0.0</v>
      </c>
      <c r="K196" s="1">
        <v>0.0</v>
      </c>
      <c r="L196" s="1">
        <v>0.0</v>
      </c>
      <c r="M196" s="1">
        <v>0.0</v>
      </c>
    </row>
    <row r="197">
      <c r="A197" s="2">
        <v>196.0</v>
      </c>
      <c r="B197" s="1">
        <v>56.0</v>
      </c>
      <c r="C197" s="1" t="s">
        <v>15</v>
      </c>
      <c r="D197" s="1" t="s">
        <v>22</v>
      </c>
      <c r="E197" s="1">
        <v>2023.0</v>
      </c>
      <c r="F197" s="1" t="s">
        <v>15</v>
      </c>
      <c r="G197" s="1" t="s">
        <v>15</v>
      </c>
      <c r="H197" s="8" t="s">
        <v>15</v>
      </c>
      <c r="I197" s="8" t="s">
        <v>15</v>
      </c>
      <c r="J197" s="1">
        <v>0.0</v>
      </c>
      <c r="K197" s="1">
        <v>0.0</v>
      </c>
      <c r="L197" s="1">
        <v>0.0</v>
      </c>
      <c r="M197" s="1">
        <v>0.0</v>
      </c>
    </row>
    <row r="198">
      <c r="A198" s="2">
        <v>197.0</v>
      </c>
      <c r="B198" s="1">
        <v>57.0</v>
      </c>
      <c r="C198" s="1" t="s">
        <v>18</v>
      </c>
      <c r="D198" s="1" t="s">
        <v>22</v>
      </c>
      <c r="E198" s="1">
        <v>2023.0</v>
      </c>
      <c r="F198" s="1" t="s">
        <v>18</v>
      </c>
      <c r="G198" s="1" t="s">
        <v>18</v>
      </c>
      <c r="H198" s="8" t="s">
        <v>18</v>
      </c>
      <c r="I198" s="8" t="s">
        <v>18</v>
      </c>
      <c r="J198" s="1">
        <v>0.0</v>
      </c>
      <c r="K198" s="1">
        <v>0.0</v>
      </c>
      <c r="L198" s="1">
        <v>0.0</v>
      </c>
      <c r="M198" s="1">
        <v>0.0</v>
      </c>
    </row>
    <row r="199">
      <c r="A199" s="2">
        <v>198.0</v>
      </c>
      <c r="B199" s="1">
        <v>58.0</v>
      </c>
      <c r="C199" s="1" t="s">
        <v>16</v>
      </c>
      <c r="D199" s="1" t="s">
        <v>22</v>
      </c>
      <c r="E199" s="1">
        <v>2023.0</v>
      </c>
      <c r="F199" s="1" t="s">
        <v>16</v>
      </c>
      <c r="G199" s="1" t="s">
        <v>16</v>
      </c>
      <c r="H199" s="8" t="s">
        <v>16</v>
      </c>
      <c r="I199" s="8" t="s">
        <v>17</v>
      </c>
      <c r="J199" s="1">
        <v>0.0</v>
      </c>
      <c r="K199" s="1">
        <v>0.0</v>
      </c>
      <c r="L199" s="1">
        <v>0.0</v>
      </c>
      <c r="M199" s="1">
        <v>0.0</v>
      </c>
    </row>
    <row r="200">
      <c r="A200" s="2">
        <v>199.0</v>
      </c>
      <c r="B200" s="1">
        <v>59.0</v>
      </c>
      <c r="C200" s="1" t="s">
        <v>15</v>
      </c>
      <c r="D200" s="1" t="s">
        <v>22</v>
      </c>
      <c r="E200" s="1">
        <v>2023.0</v>
      </c>
      <c r="F200" s="1" t="s">
        <v>15</v>
      </c>
      <c r="G200" s="1" t="s">
        <v>15</v>
      </c>
      <c r="H200" s="8" t="s">
        <v>15</v>
      </c>
      <c r="I200" s="8" t="s">
        <v>15</v>
      </c>
      <c r="J200" s="1">
        <v>0.0</v>
      </c>
      <c r="K200" s="1">
        <v>0.0</v>
      </c>
      <c r="L200" s="1">
        <v>0.0</v>
      </c>
      <c r="M200" s="1">
        <v>0.0</v>
      </c>
    </row>
    <row r="201">
      <c r="A201" s="2">
        <v>200.0</v>
      </c>
      <c r="B201" s="1">
        <v>60.0</v>
      </c>
      <c r="C201" s="1" t="s">
        <v>15</v>
      </c>
      <c r="D201" s="1" t="s">
        <v>22</v>
      </c>
      <c r="E201" s="1">
        <v>2023.0</v>
      </c>
      <c r="F201" s="1" t="s">
        <v>15</v>
      </c>
      <c r="G201" s="1" t="s">
        <v>15</v>
      </c>
      <c r="H201" s="8" t="s">
        <v>15</v>
      </c>
      <c r="I201" s="8" t="s">
        <v>15</v>
      </c>
      <c r="J201" s="1">
        <v>0.0</v>
      </c>
      <c r="K201" s="1">
        <v>0.0</v>
      </c>
      <c r="L201" s="1">
        <v>0.0</v>
      </c>
      <c r="M201" s="1">
        <v>0.0</v>
      </c>
    </row>
    <row r="202">
      <c r="A202" s="2">
        <v>201.0</v>
      </c>
      <c r="B202" s="1">
        <v>61.0</v>
      </c>
      <c r="C202" s="1" t="s">
        <v>15</v>
      </c>
      <c r="D202" s="1" t="s">
        <v>22</v>
      </c>
      <c r="E202" s="1">
        <v>2023.0</v>
      </c>
      <c r="F202" s="1" t="s">
        <v>15</v>
      </c>
      <c r="G202" s="1" t="s">
        <v>15</v>
      </c>
      <c r="H202" s="8" t="s">
        <v>15</v>
      </c>
      <c r="I202" s="8" t="s">
        <v>15</v>
      </c>
      <c r="J202" s="1">
        <v>0.0</v>
      </c>
      <c r="K202" s="1">
        <v>0.0</v>
      </c>
      <c r="L202" s="1">
        <v>0.0</v>
      </c>
      <c r="M202" s="1">
        <v>0.0</v>
      </c>
    </row>
    <row r="203">
      <c r="A203" s="2">
        <v>202.0</v>
      </c>
      <c r="B203" s="1">
        <v>62.0</v>
      </c>
      <c r="C203" s="1" t="s">
        <v>15</v>
      </c>
      <c r="D203" s="1" t="s">
        <v>22</v>
      </c>
      <c r="E203" s="1">
        <v>2023.0</v>
      </c>
      <c r="F203" s="1" t="s">
        <v>15</v>
      </c>
      <c r="G203" s="1" t="s">
        <v>15</v>
      </c>
      <c r="H203" s="8" t="s">
        <v>15</v>
      </c>
      <c r="I203" s="8" t="s">
        <v>15</v>
      </c>
      <c r="J203" s="1">
        <v>0.0</v>
      </c>
      <c r="K203" s="1">
        <v>0.0</v>
      </c>
      <c r="L203" s="1">
        <v>0.0</v>
      </c>
      <c r="M203" s="1">
        <v>0.0</v>
      </c>
    </row>
    <row r="204">
      <c r="A204" s="2">
        <v>203.0</v>
      </c>
      <c r="B204" s="1">
        <v>63.0</v>
      </c>
      <c r="C204" s="1" t="s">
        <v>18</v>
      </c>
      <c r="D204" s="1" t="s">
        <v>22</v>
      </c>
      <c r="E204" s="1">
        <v>2023.0</v>
      </c>
      <c r="F204" s="1" t="s">
        <v>18</v>
      </c>
      <c r="G204" s="1" t="s">
        <v>18</v>
      </c>
      <c r="H204" s="8" t="s">
        <v>18</v>
      </c>
      <c r="I204" s="8" t="s">
        <v>17</v>
      </c>
      <c r="J204" s="1">
        <v>0.0</v>
      </c>
      <c r="K204" s="1">
        <v>0.0</v>
      </c>
      <c r="L204" s="1">
        <v>0.0</v>
      </c>
      <c r="M204" s="1">
        <v>0.0</v>
      </c>
    </row>
    <row r="205">
      <c r="A205" s="2">
        <v>204.0</v>
      </c>
      <c r="B205" s="1">
        <v>64.0</v>
      </c>
      <c r="C205" s="1" t="s">
        <v>16</v>
      </c>
      <c r="D205" s="1" t="s">
        <v>22</v>
      </c>
      <c r="E205" s="1">
        <v>2023.0</v>
      </c>
      <c r="F205" s="1" t="s">
        <v>16</v>
      </c>
      <c r="G205" s="1" t="s">
        <v>16</v>
      </c>
      <c r="H205" s="8" t="s">
        <v>16</v>
      </c>
      <c r="I205" s="8" t="s">
        <v>16</v>
      </c>
      <c r="J205" s="1">
        <v>0.0</v>
      </c>
      <c r="K205" s="1">
        <v>0.0</v>
      </c>
      <c r="L205" s="1">
        <v>0.0</v>
      </c>
      <c r="M205" s="1">
        <v>0.0</v>
      </c>
    </row>
    <row r="206">
      <c r="A206" s="2">
        <v>205.0</v>
      </c>
      <c r="B206" s="1">
        <v>65.0</v>
      </c>
      <c r="C206" s="1" t="s">
        <v>13</v>
      </c>
      <c r="D206" s="1" t="s">
        <v>22</v>
      </c>
      <c r="E206" s="1">
        <v>2023.0</v>
      </c>
      <c r="F206" s="1" t="s">
        <v>13</v>
      </c>
      <c r="G206" s="1" t="s">
        <v>13</v>
      </c>
      <c r="H206" s="8" t="s">
        <v>13</v>
      </c>
      <c r="I206" s="8" t="s">
        <v>13</v>
      </c>
      <c r="J206" s="1">
        <v>0.0</v>
      </c>
      <c r="K206" s="1">
        <v>0.0</v>
      </c>
      <c r="L206" s="1">
        <v>0.0</v>
      </c>
      <c r="M206" s="1">
        <v>0.0</v>
      </c>
    </row>
    <row r="207">
      <c r="A207" s="2">
        <v>206.0</v>
      </c>
      <c r="B207" s="1">
        <v>66.0</v>
      </c>
      <c r="C207" s="1" t="s">
        <v>17</v>
      </c>
      <c r="D207" s="1" t="s">
        <v>22</v>
      </c>
      <c r="E207" s="1">
        <v>2023.0</v>
      </c>
      <c r="F207" s="1" t="s">
        <v>17</v>
      </c>
      <c r="G207" s="1" t="s">
        <v>17</v>
      </c>
      <c r="H207" s="8" t="s">
        <v>17</v>
      </c>
      <c r="I207" s="8" t="s">
        <v>17</v>
      </c>
      <c r="J207" s="1">
        <v>0.0</v>
      </c>
      <c r="K207" s="1">
        <v>0.0</v>
      </c>
      <c r="L207" s="1">
        <v>0.0</v>
      </c>
      <c r="M207" s="1">
        <v>0.0</v>
      </c>
    </row>
    <row r="208">
      <c r="A208" s="2">
        <v>207.0</v>
      </c>
      <c r="B208" s="1">
        <v>67.0</v>
      </c>
      <c r="C208" s="1" t="s">
        <v>13</v>
      </c>
      <c r="D208" s="1" t="s">
        <v>22</v>
      </c>
      <c r="E208" s="1">
        <v>2023.0</v>
      </c>
      <c r="F208" s="1" t="s">
        <v>13</v>
      </c>
      <c r="G208" s="1" t="s">
        <v>13</v>
      </c>
      <c r="H208" s="8" t="s">
        <v>13</v>
      </c>
      <c r="I208" s="8" t="s">
        <v>13</v>
      </c>
      <c r="J208" s="1">
        <v>0.0</v>
      </c>
      <c r="K208" s="1">
        <v>0.0</v>
      </c>
      <c r="L208" s="1">
        <v>0.0</v>
      </c>
      <c r="M208" s="1">
        <v>0.0</v>
      </c>
    </row>
    <row r="209">
      <c r="A209" s="2">
        <v>208.0</v>
      </c>
      <c r="B209" s="1">
        <v>68.0</v>
      </c>
      <c r="C209" s="1" t="s">
        <v>13</v>
      </c>
      <c r="D209" s="1" t="s">
        <v>22</v>
      </c>
      <c r="E209" s="1">
        <v>2023.0</v>
      </c>
      <c r="F209" s="1" t="s">
        <v>13</v>
      </c>
      <c r="G209" s="1" t="s">
        <v>13</v>
      </c>
      <c r="H209" s="8" t="s">
        <v>13</v>
      </c>
      <c r="I209" s="8" t="s">
        <v>13</v>
      </c>
      <c r="J209" s="1">
        <v>0.0</v>
      </c>
      <c r="K209" s="1">
        <v>0.0</v>
      </c>
      <c r="L209" s="1">
        <v>0.0</v>
      </c>
      <c r="M209" s="1">
        <v>0.0</v>
      </c>
    </row>
    <row r="210">
      <c r="A210" s="2">
        <v>209.0</v>
      </c>
      <c r="B210" s="1">
        <v>69.0</v>
      </c>
      <c r="C210" s="1" t="s">
        <v>15</v>
      </c>
      <c r="D210" s="1" t="s">
        <v>22</v>
      </c>
      <c r="E210" s="1">
        <v>2023.0</v>
      </c>
      <c r="F210" s="1" t="s">
        <v>15</v>
      </c>
      <c r="G210" s="1" t="s">
        <v>15</v>
      </c>
      <c r="H210" s="8" t="s">
        <v>15</v>
      </c>
      <c r="I210" s="8" t="s">
        <v>15</v>
      </c>
      <c r="J210" s="1">
        <v>0.0</v>
      </c>
      <c r="K210" s="1">
        <v>0.0</v>
      </c>
      <c r="L210" s="1">
        <v>0.0</v>
      </c>
      <c r="M210" s="1">
        <v>0.0</v>
      </c>
    </row>
    <row r="211">
      <c r="A211" s="2">
        <v>210.0</v>
      </c>
      <c r="B211" s="1">
        <v>70.0</v>
      </c>
      <c r="C211" s="1" t="s">
        <v>18</v>
      </c>
      <c r="D211" s="1" t="s">
        <v>22</v>
      </c>
      <c r="E211" s="1">
        <v>2023.0</v>
      </c>
      <c r="F211" s="1" t="s">
        <v>18</v>
      </c>
      <c r="G211" s="1" t="s">
        <v>15</v>
      </c>
      <c r="H211" s="8" t="s">
        <v>18</v>
      </c>
      <c r="I211" s="8" t="s">
        <v>18</v>
      </c>
      <c r="J211" s="1">
        <v>0.0</v>
      </c>
      <c r="K211" s="1">
        <v>0.0</v>
      </c>
      <c r="L211" s="1">
        <v>0.0</v>
      </c>
      <c r="M211" s="1">
        <v>0.0</v>
      </c>
    </row>
    <row r="212">
      <c r="A212" s="2">
        <v>211.0</v>
      </c>
      <c r="B212" s="1">
        <v>1.0</v>
      </c>
      <c r="C212" s="1" t="s">
        <v>16</v>
      </c>
      <c r="D212" s="1" t="s">
        <v>14</v>
      </c>
      <c r="E212" s="1">
        <v>2024.0</v>
      </c>
    </row>
    <row r="213">
      <c r="A213" s="5">
        <v>212.0</v>
      </c>
      <c r="B213" s="6">
        <v>2.0</v>
      </c>
      <c r="C213" s="6" t="s">
        <v>21</v>
      </c>
      <c r="D213" s="6" t="s">
        <v>14</v>
      </c>
      <c r="E213" s="6">
        <v>2024.0</v>
      </c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</row>
    <row r="214">
      <c r="A214" s="2">
        <v>213.0</v>
      </c>
      <c r="B214" s="1">
        <v>3.0</v>
      </c>
      <c r="C214" s="1" t="s">
        <v>17</v>
      </c>
      <c r="D214" s="1" t="s">
        <v>14</v>
      </c>
      <c r="E214" s="1">
        <v>2024.0</v>
      </c>
    </row>
    <row r="215">
      <c r="A215" s="2">
        <v>214.0</v>
      </c>
      <c r="B215" s="1">
        <v>4.0</v>
      </c>
      <c r="C215" s="1" t="s">
        <v>17</v>
      </c>
      <c r="D215" s="1" t="s">
        <v>14</v>
      </c>
      <c r="E215" s="1">
        <v>2024.0</v>
      </c>
    </row>
    <row r="216">
      <c r="A216" s="2">
        <v>215.0</v>
      </c>
      <c r="B216" s="1">
        <v>5.0</v>
      </c>
      <c r="C216" s="1" t="s">
        <v>13</v>
      </c>
      <c r="D216" s="1" t="s">
        <v>14</v>
      </c>
      <c r="E216" s="1">
        <v>2024.0</v>
      </c>
    </row>
    <row r="217">
      <c r="A217" s="2">
        <v>216.0</v>
      </c>
      <c r="B217" s="1">
        <v>6.0</v>
      </c>
      <c r="C217" s="1" t="s">
        <v>16</v>
      </c>
      <c r="D217" s="1" t="s">
        <v>14</v>
      </c>
      <c r="E217" s="1">
        <v>2024.0</v>
      </c>
    </row>
    <row r="218">
      <c r="A218" s="2">
        <v>217.0</v>
      </c>
      <c r="B218" s="1">
        <v>7.0</v>
      </c>
      <c r="C218" s="1" t="s">
        <v>18</v>
      </c>
      <c r="D218" s="1" t="s">
        <v>14</v>
      </c>
      <c r="E218" s="1">
        <v>2024.0</v>
      </c>
    </row>
    <row r="219">
      <c r="A219" s="2">
        <v>218.0</v>
      </c>
      <c r="B219" s="1">
        <v>8.0</v>
      </c>
      <c r="C219" s="1" t="s">
        <v>18</v>
      </c>
      <c r="D219" s="1" t="s">
        <v>14</v>
      </c>
      <c r="E219" s="1">
        <v>2024.0</v>
      </c>
    </row>
    <row r="220">
      <c r="A220" s="2">
        <v>219.0</v>
      </c>
      <c r="B220" s="1">
        <v>9.0</v>
      </c>
      <c r="C220" s="1" t="s">
        <v>16</v>
      </c>
      <c r="D220" s="1" t="s">
        <v>14</v>
      </c>
      <c r="E220" s="1">
        <v>2024.0</v>
      </c>
    </row>
    <row r="221">
      <c r="A221" s="2">
        <v>220.0</v>
      </c>
      <c r="B221" s="1">
        <v>10.0</v>
      </c>
      <c r="C221" s="1" t="s">
        <v>15</v>
      </c>
      <c r="D221" s="1" t="s">
        <v>14</v>
      </c>
      <c r="E221" s="1">
        <v>2024.0</v>
      </c>
    </row>
    <row r="222">
      <c r="A222" s="2">
        <v>221.0</v>
      </c>
      <c r="B222" s="1">
        <v>11.0</v>
      </c>
      <c r="C222" s="1" t="s">
        <v>13</v>
      </c>
      <c r="D222" s="1" t="s">
        <v>14</v>
      </c>
      <c r="E222" s="1">
        <v>2024.0</v>
      </c>
    </row>
    <row r="223">
      <c r="A223" s="2">
        <v>222.0</v>
      </c>
      <c r="B223" s="1">
        <v>12.0</v>
      </c>
      <c r="C223" s="1" t="s">
        <v>17</v>
      </c>
      <c r="D223" s="1" t="s">
        <v>14</v>
      </c>
      <c r="E223" s="1">
        <v>2024.0</v>
      </c>
    </row>
    <row r="224">
      <c r="A224" s="2">
        <v>223.0</v>
      </c>
      <c r="B224" s="1">
        <v>13.0</v>
      </c>
      <c r="C224" s="1" t="s">
        <v>16</v>
      </c>
      <c r="D224" s="1" t="s">
        <v>14</v>
      </c>
      <c r="E224" s="1">
        <v>2024.0</v>
      </c>
    </row>
    <row r="225">
      <c r="A225" s="2">
        <v>224.0</v>
      </c>
      <c r="B225" s="1">
        <v>14.0</v>
      </c>
      <c r="C225" s="1" t="s">
        <v>18</v>
      </c>
      <c r="D225" s="1" t="s">
        <v>14</v>
      </c>
      <c r="E225" s="1">
        <v>2024.0</v>
      </c>
    </row>
    <row r="226">
      <c r="A226" s="2">
        <v>225.0</v>
      </c>
      <c r="B226" s="1">
        <v>15.0</v>
      </c>
      <c r="C226" s="1" t="s">
        <v>15</v>
      </c>
      <c r="D226" s="1" t="s">
        <v>14</v>
      </c>
      <c r="E226" s="1">
        <v>2024.0</v>
      </c>
    </row>
    <row r="227">
      <c r="A227" s="2">
        <v>226.0</v>
      </c>
      <c r="B227" s="1">
        <v>16.0</v>
      </c>
      <c r="C227" s="1" t="s">
        <v>16</v>
      </c>
      <c r="D227" s="1" t="s">
        <v>14</v>
      </c>
      <c r="E227" s="1">
        <v>2024.0</v>
      </c>
    </row>
    <row r="228">
      <c r="A228" s="5">
        <v>227.0</v>
      </c>
      <c r="B228" s="6">
        <v>17.0</v>
      </c>
      <c r="C228" s="6" t="s">
        <v>21</v>
      </c>
      <c r="D228" s="6" t="s">
        <v>14</v>
      </c>
      <c r="E228" s="6">
        <v>2024.0</v>
      </c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</row>
    <row r="229">
      <c r="A229" s="2">
        <v>228.0</v>
      </c>
      <c r="B229" s="1">
        <v>18.0</v>
      </c>
      <c r="C229" s="1" t="s">
        <v>13</v>
      </c>
      <c r="D229" s="1" t="s">
        <v>14</v>
      </c>
      <c r="E229" s="1">
        <v>2024.0</v>
      </c>
    </row>
    <row r="230">
      <c r="A230" s="2">
        <v>229.0</v>
      </c>
      <c r="B230" s="1">
        <v>19.0</v>
      </c>
      <c r="C230" s="1" t="s">
        <v>18</v>
      </c>
      <c r="D230" s="1" t="s">
        <v>14</v>
      </c>
      <c r="E230" s="1">
        <v>2024.0</v>
      </c>
    </row>
    <row r="231">
      <c r="A231" s="2">
        <v>230.0</v>
      </c>
      <c r="B231" s="1">
        <v>20.0</v>
      </c>
      <c r="C231" s="1" t="s">
        <v>18</v>
      </c>
      <c r="D231" s="1" t="s">
        <v>14</v>
      </c>
      <c r="E231" s="1">
        <v>2024.0</v>
      </c>
    </row>
    <row r="232">
      <c r="A232" s="2">
        <v>231.0</v>
      </c>
      <c r="B232" s="1">
        <v>21.0</v>
      </c>
      <c r="C232" s="1" t="s">
        <v>13</v>
      </c>
      <c r="D232" s="1" t="s">
        <v>20</v>
      </c>
      <c r="E232" s="1">
        <v>2024.0</v>
      </c>
    </row>
    <row r="233">
      <c r="A233" s="2">
        <v>232.0</v>
      </c>
      <c r="B233" s="1">
        <v>22.0</v>
      </c>
      <c r="C233" s="1" t="s">
        <v>17</v>
      </c>
      <c r="D233" s="1" t="s">
        <v>20</v>
      </c>
      <c r="E233" s="1">
        <v>2024.0</v>
      </c>
    </row>
    <row r="234">
      <c r="A234" s="2">
        <v>233.0</v>
      </c>
      <c r="B234" s="1">
        <v>23.0</v>
      </c>
      <c r="C234" s="1" t="s">
        <v>15</v>
      </c>
      <c r="D234" s="1" t="s">
        <v>20</v>
      </c>
      <c r="E234" s="1">
        <v>2024.0</v>
      </c>
    </row>
    <row r="235">
      <c r="A235" s="2">
        <v>234.0</v>
      </c>
      <c r="B235" s="1">
        <v>24.0</v>
      </c>
      <c r="C235" s="1" t="s">
        <v>17</v>
      </c>
      <c r="D235" s="1" t="s">
        <v>20</v>
      </c>
      <c r="E235" s="1">
        <v>2024.0</v>
      </c>
    </row>
    <row r="236">
      <c r="A236" s="2">
        <v>235.0</v>
      </c>
      <c r="B236" s="1">
        <v>25.0</v>
      </c>
      <c r="C236" s="1" t="s">
        <v>15</v>
      </c>
      <c r="D236" s="1" t="s">
        <v>20</v>
      </c>
      <c r="E236" s="1">
        <v>2024.0</v>
      </c>
    </row>
    <row r="237">
      <c r="A237" s="2">
        <v>236.0</v>
      </c>
      <c r="B237" s="1">
        <v>26.0</v>
      </c>
      <c r="C237" s="1" t="s">
        <v>16</v>
      </c>
      <c r="D237" s="1" t="s">
        <v>20</v>
      </c>
      <c r="E237" s="1">
        <v>2024.0</v>
      </c>
    </row>
    <row r="238">
      <c r="A238" s="2">
        <v>237.0</v>
      </c>
      <c r="B238" s="1">
        <v>27.0</v>
      </c>
      <c r="C238" s="1" t="s">
        <v>13</v>
      </c>
      <c r="D238" s="1" t="s">
        <v>20</v>
      </c>
      <c r="E238" s="1">
        <v>2024.0</v>
      </c>
    </row>
    <row r="239">
      <c r="A239" s="2">
        <v>238.0</v>
      </c>
      <c r="B239" s="1">
        <v>28.0</v>
      </c>
      <c r="C239" s="1" t="s">
        <v>18</v>
      </c>
      <c r="D239" s="1" t="s">
        <v>20</v>
      </c>
      <c r="E239" s="1">
        <v>2024.0</v>
      </c>
    </row>
    <row r="240">
      <c r="A240" s="2">
        <v>239.0</v>
      </c>
      <c r="B240" s="1">
        <v>29.0</v>
      </c>
      <c r="C240" s="1" t="s">
        <v>16</v>
      </c>
      <c r="D240" s="1" t="s">
        <v>20</v>
      </c>
      <c r="E240" s="1">
        <v>2024.0</v>
      </c>
    </row>
    <row r="241">
      <c r="A241" s="2">
        <v>240.0</v>
      </c>
      <c r="B241" s="1">
        <v>30.0</v>
      </c>
      <c r="C241" s="1" t="s">
        <v>18</v>
      </c>
      <c r="D241" s="1" t="s">
        <v>20</v>
      </c>
      <c r="E241" s="1">
        <v>2024.0</v>
      </c>
    </row>
    <row r="242">
      <c r="A242" s="2">
        <v>241.0</v>
      </c>
      <c r="B242" s="1">
        <v>31.0</v>
      </c>
      <c r="C242" s="1" t="s">
        <v>13</v>
      </c>
      <c r="D242" s="1" t="s">
        <v>20</v>
      </c>
      <c r="E242" s="1">
        <v>2024.0</v>
      </c>
    </row>
    <row r="243">
      <c r="A243" s="2">
        <v>242.0</v>
      </c>
      <c r="B243" s="1">
        <v>32.0</v>
      </c>
      <c r="C243" s="1" t="s">
        <v>13</v>
      </c>
      <c r="D243" s="1" t="s">
        <v>20</v>
      </c>
      <c r="E243" s="1">
        <v>2024.0</v>
      </c>
    </row>
    <row r="244">
      <c r="A244" s="2">
        <v>243.0</v>
      </c>
      <c r="B244" s="1">
        <v>33.0</v>
      </c>
      <c r="C244" s="1" t="s">
        <v>18</v>
      </c>
      <c r="D244" s="1" t="s">
        <v>20</v>
      </c>
      <c r="E244" s="1">
        <v>2024.0</v>
      </c>
    </row>
    <row r="245">
      <c r="A245" s="2">
        <v>244.0</v>
      </c>
      <c r="B245" s="1">
        <v>34.0</v>
      </c>
      <c r="C245" s="1" t="s">
        <v>13</v>
      </c>
      <c r="D245" s="1" t="s">
        <v>20</v>
      </c>
      <c r="E245" s="1">
        <v>2024.0</v>
      </c>
    </row>
    <row r="246">
      <c r="A246" s="2">
        <v>245.0</v>
      </c>
      <c r="B246" s="1">
        <v>35.0</v>
      </c>
      <c r="C246" s="1" t="s">
        <v>16</v>
      </c>
      <c r="D246" s="1" t="s">
        <v>20</v>
      </c>
      <c r="E246" s="1">
        <v>2024.0</v>
      </c>
    </row>
    <row r="247">
      <c r="A247" s="2">
        <v>246.0</v>
      </c>
      <c r="B247" s="1">
        <v>36.0</v>
      </c>
      <c r="C247" s="1" t="s">
        <v>18</v>
      </c>
      <c r="D247" s="1" t="s">
        <v>20</v>
      </c>
      <c r="E247" s="1">
        <v>2024.0</v>
      </c>
    </row>
    <row r="248">
      <c r="A248" s="2">
        <v>247.0</v>
      </c>
      <c r="B248" s="1">
        <v>37.0</v>
      </c>
      <c r="C248" s="1" t="s">
        <v>17</v>
      </c>
      <c r="D248" s="1" t="s">
        <v>20</v>
      </c>
      <c r="E248" s="1">
        <v>2024.0</v>
      </c>
    </row>
    <row r="249">
      <c r="A249" s="2">
        <v>248.0</v>
      </c>
      <c r="B249" s="1">
        <v>38.0</v>
      </c>
      <c r="C249" s="1" t="s">
        <v>15</v>
      </c>
      <c r="D249" s="1" t="s">
        <v>20</v>
      </c>
      <c r="E249" s="1">
        <v>2024.0</v>
      </c>
    </row>
    <row r="250">
      <c r="A250" s="2">
        <v>249.0</v>
      </c>
      <c r="B250" s="1">
        <v>39.0</v>
      </c>
      <c r="C250" s="1" t="s">
        <v>18</v>
      </c>
      <c r="D250" s="1" t="s">
        <v>20</v>
      </c>
      <c r="E250" s="1">
        <v>2024.0</v>
      </c>
    </row>
    <row r="251">
      <c r="A251" s="2">
        <v>250.0</v>
      </c>
      <c r="B251" s="1">
        <v>40.0</v>
      </c>
      <c r="C251" s="1" t="s">
        <v>13</v>
      </c>
      <c r="D251" s="1" t="s">
        <v>20</v>
      </c>
      <c r="E251" s="1">
        <v>2024.0</v>
      </c>
    </row>
    <row r="252">
      <c r="A252" s="2">
        <v>251.0</v>
      </c>
      <c r="B252" s="1">
        <v>41.0</v>
      </c>
      <c r="C252" s="1" t="s">
        <v>18</v>
      </c>
      <c r="D252" s="1" t="s">
        <v>20</v>
      </c>
      <c r="E252" s="1">
        <v>2024.0</v>
      </c>
    </row>
    <row r="253">
      <c r="A253" s="2">
        <v>252.0</v>
      </c>
      <c r="B253" s="1">
        <v>42.0</v>
      </c>
      <c r="C253" s="1" t="s">
        <v>17</v>
      </c>
      <c r="D253" s="1" t="s">
        <v>20</v>
      </c>
      <c r="E253" s="1">
        <v>2024.0</v>
      </c>
    </row>
    <row r="254">
      <c r="A254" s="2">
        <v>253.0</v>
      </c>
      <c r="B254" s="1">
        <v>43.0</v>
      </c>
      <c r="C254" s="1" t="s">
        <v>18</v>
      </c>
      <c r="D254" s="1" t="s">
        <v>20</v>
      </c>
      <c r="E254" s="1">
        <v>2024.0</v>
      </c>
    </row>
    <row r="255">
      <c r="A255" s="2">
        <v>254.0</v>
      </c>
      <c r="B255" s="1">
        <v>44.0</v>
      </c>
      <c r="C255" s="1" t="s">
        <v>16</v>
      </c>
      <c r="D255" s="1" t="s">
        <v>20</v>
      </c>
      <c r="E255" s="1">
        <v>2024.0</v>
      </c>
    </row>
    <row r="256">
      <c r="A256" s="2">
        <v>255.0</v>
      </c>
      <c r="B256" s="1">
        <v>45.0</v>
      </c>
      <c r="C256" s="1" t="s">
        <v>13</v>
      </c>
      <c r="D256" s="1" t="s">
        <v>20</v>
      </c>
      <c r="E256" s="1">
        <v>2024.0</v>
      </c>
    </row>
    <row r="257">
      <c r="A257" s="2">
        <v>256.0</v>
      </c>
      <c r="B257" s="1">
        <v>46.0</v>
      </c>
      <c r="C257" s="1" t="s">
        <v>17</v>
      </c>
      <c r="D257" s="1" t="s">
        <v>20</v>
      </c>
      <c r="E257" s="1">
        <v>2024.0</v>
      </c>
    </row>
    <row r="258">
      <c r="A258" s="2">
        <v>257.0</v>
      </c>
      <c r="B258" s="1">
        <v>47.0</v>
      </c>
      <c r="C258" s="1" t="s">
        <v>16</v>
      </c>
      <c r="D258" s="1" t="s">
        <v>20</v>
      </c>
      <c r="E258" s="1">
        <v>2024.0</v>
      </c>
    </row>
    <row r="259">
      <c r="A259" s="2">
        <v>258.0</v>
      </c>
      <c r="B259" s="1">
        <v>48.0</v>
      </c>
      <c r="C259" s="1" t="s">
        <v>18</v>
      </c>
      <c r="D259" s="1" t="s">
        <v>20</v>
      </c>
      <c r="E259" s="1">
        <v>2024.0</v>
      </c>
    </row>
    <row r="260">
      <c r="A260" s="2">
        <v>259.0</v>
      </c>
      <c r="B260" s="1">
        <v>49.0</v>
      </c>
      <c r="C260" s="1" t="s">
        <v>13</v>
      </c>
      <c r="D260" s="1" t="s">
        <v>20</v>
      </c>
      <c r="E260" s="1">
        <v>2024.0</v>
      </c>
    </row>
    <row r="261">
      <c r="A261" s="2">
        <v>260.0</v>
      </c>
      <c r="B261" s="1">
        <v>50.0</v>
      </c>
      <c r="C261" s="1" t="s">
        <v>15</v>
      </c>
      <c r="D261" s="1" t="s">
        <v>20</v>
      </c>
      <c r="E261" s="1">
        <v>2024.0</v>
      </c>
    </row>
    <row r="262">
      <c r="A262" s="2">
        <v>261.0</v>
      </c>
      <c r="B262" s="1">
        <v>51.0</v>
      </c>
      <c r="C262" s="1" t="s">
        <v>16</v>
      </c>
      <c r="D262" s="1" t="s">
        <v>23</v>
      </c>
      <c r="E262" s="1">
        <v>2024.0</v>
      </c>
    </row>
    <row r="263">
      <c r="A263" s="2">
        <v>262.0</v>
      </c>
      <c r="B263" s="1">
        <v>52.0</v>
      </c>
      <c r="C263" s="1" t="s">
        <v>15</v>
      </c>
      <c r="D263" s="1" t="s">
        <v>23</v>
      </c>
      <c r="E263" s="1">
        <v>2024.0</v>
      </c>
    </row>
    <row r="264">
      <c r="A264" s="2">
        <v>263.0</v>
      </c>
      <c r="B264" s="1">
        <v>53.0</v>
      </c>
      <c r="C264" s="1" t="s">
        <v>15</v>
      </c>
      <c r="D264" s="1" t="s">
        <v>23</v>
      </c>
      <c r="E264" s="1">
        <v>2024.0</v>
      </c>
    </row>
    <row r="265">
      <c r="A265" s="2">
        <v>264.0</v>
      </c>
      <c r="B265" s="1">
        <v>54.0</v>
      </c>
      <c r="C265" s="1" t="s">
        <v>17</v>
      </c>
      <c r="D265" s="1" t="s">
        <v>23</v>
      </c>
      <c r="E265" s="1">
        <v>2024.0</v>
      </c>
    </row>
    <row r="266">
      <c r="A266" s="2">
        <v>265.0</v>
      </c>
      <c r="B266" s="1">
        <v>55.0</v>
      </c>
      <c r="C266" s="1" t="s">
        <v>16</v>
      </c>
      <c r="D266" s="1" t="s">
        <v>23</v>
      </c>
      <c r="E266" s="1">
        <v>2024.0</v>
      </c>
    </row>
    <row r="267">
      <c r="A267" s="2">
        <v>266.0</v>
      </c>
      <c r="B267" s="1">
        <v>56.0</v>
      </c>
      <c r="C267" s="1" t="s">
        <v>15</v>
      </c>
      <c r="D267" s="1" t="s">
        <v>23</v>
      </c>
      <c r="E267" s="1">
        <v>2024.0</v>
      </c>
    </row>
    <row r="268">
      <c r="A268" s="2">
        <v>267.0</v>
      </c>
      <c r="B268" s="1">
        <v>57.0</v>
      </c>
      <c r="C268" s="1" t="s">
        <v>15</v>
      </c>
      <c r="D268" s="1" t="s">
        <v>23</v>
      </c>
      <c r="E268" s="1">
        <v>2024.0</v>
      </c>
    </row>
    <row r="269">
      <c r="A269" s="2">
        <v>268.0</v>
      </c>
      <c r="B269" s="1">
        <v>58.0</v>
      </c>
      <c r="C269" s="1" t="s">
        <v>13</v>
      </c>
      <c r="D269" s="1" t="s">
        <v>23</v>
      </c>
      <c r="E269" s="1">
        <v>2024.0</v>
      </c>
    </row>
    <row r="270">
      <c r="A270" s="2">
        <v>269.0</v>
      </c>
      <c r="B270" s="1">
        <v>59.0</v>
      </c>
      <c r="C270" s="1" t="s">
        <v>16</v>
      </c>
      <c r="D270" s="1" t="s">
        <v>23</v>
      </c>
      <c r="E270" s="1">
        <v>2024.0</v>
      </c>
    </row>
    <row r="271">
      <c r="A271" s="2">
        <v>270.0</v>
      </c>
      <c r="B271" s="1">
        <v>60.0</v>
      </c>
      <c r="C271" s="1" t="s">
        <v>13</v>
      </c>
      <c r="D271" s="1" t="s">
        <v>23</v>
      </c>
      <c r="E271" s="1">
        <v>2024.0</v>
      </c>
    </row>
    <row r="272">
      <c r="A272" s="2">
        <v>271.0</v>
      </c>
      <c r="B272" s="1">
        <v>61.0</v>
      </c>
      <c r="C272" s="1" t="s">
        <v>17</v>
      </c>
      <c r="D272" s="1" t="s">
        <v>23</v>
      </c>
      <c r="E272" s="1">
        <v>2024.0</v>
      </c>
    </row>
    <row r="273">
      <c r="A273" s="2">
        <v>272.0</v>
      </c>
      <c r="B273" s="1">
        <v>62.0</v>
      </c>
      <c r="C273" s="1" t="s">
        <v>18</v>
      </c>
      <c r="D273" s="1" t="s">
        <v>23</v>
      </c>
      <c r="E273" s="1">
        <v>2024.0</v>
      </c>
    </row>
    <row r="274">
      <c r="A274" s="2">
        <v>273.0</v>
      </c>
      <c r="B274" s="1">
        <v>63.0</v>
      </c>
      <c r="C274" s="1" t="s">
        <v>16</v>
      </c>
      <c r="D274" s="1" t="s">
        <v>23</v>
      </c>
      <c r="E274" s="1">
        <v>2024.0</v>
      </c>
    </row>
    <row r="275">
      <c r="A275" s="2">
        <v>274.0</v>
      </c>
      <c r="B275" s="1">
        <v>64.0</v>
      </c>
      <c r="C275" s="1" t="s">
        <v>15</v>
      </c>
      <c r="D275" s="1" t="s">
        <v>23</v>
      </c>
      <c r="E275" s="1">
        <v>2024.0</v>
      </c>
    </row>
    <row r="276">
      <c r="A276" s="2">
        <v>275.0</v>
      </c>
      <c r="B276" s="1">
        <v>65.0</v>
      </c>
      <c r="C276" s="1" t="s">
        <v>17</v>
      </c>
      <c r="D276" s="1" t="s">
        <v>23</v>
      </c>
      <c r="E276" s="1">
        <v>2024.0</v>
      </c>
    </row>
    <row r="277">
      <c r="A277" s="2">
        <v>276.0</v>
      </c>
      <c r="B277" s="1">
        <v>66.0</v>
      </c>
      <c r="C277" s="1" t="s">
        <v>16</v>
      </c>
      <c r="D277" s="1" t="s">
        <v>23</v>
      </c>
      <c r="E277" s="1">
        <v>2024.0</v>
      </c>
    </row>
    <row r="278">
      <c r="A278" s="2">
        <v>277.0</v>
      </c>
      <c r="B278" s="1">
        <v>67.0</v>
      </c>
      <c r="C278" s="1" t="s">
        <v>17</v>
      </c>
      <c r="D278" s="1" t="s">
        <v>23</v>
      </c>
      <c r="E278" s="1">
        <v>2024.0</v>
      </c>
    </row>
    <row r="279">
      <c r="A279" s="2">
        <v>278.0</v>
      </c>
      <c r="B279" s="1">
        <v>68.0</v>
      </c>
      <c r="C279" s="1" t="s">
        <v>15</v>
      </c>
      <c r="D279" s="1" t="s">
        <v>23</v>
      </c>
      <c r="E279" s="1">
        <v>2024.0</v>
      </c>
    </row>
    <row r="280">
      <c r="A280" s="2">
        <v>279.0</v>
      </c>
      <c r="B280" s="1">
        <v>69.0</v>
      </c>
      <c r="C280" s="1" t="s">
        <v>17</v>
      </c>
      <c r="D280" s="1" t="s">
        <v>23</v>
      </c>
      <c r="E280" s="1">
        <v>2024.0</v>
      </c>
    </row>
    <row r="281">
      <c r="A281" s="2">
        <v>280.0</v>
      </c>
      <c r="B281" s="1">
        <v>70.0</v>
      </c>
      <c r="C281" s="1" t="s">
        <v>13</v>
      </c>
      <c r="D281" s="1" t="s">
        <v>23</v>
      </c>
      <c r="E281" s="1">
        <v>2024.0</v>
      </c>
    </row>
    <row r="282">
      <c r="A282" s="2"/>
    </row>
    <row r="283">
      <c r="A283" s="2"/>
    </row>
    <row r="284">
      <c r="A284" s="2"/>
    </row>
    <row r="285">
      <c r="A285" s="2"/>
    </row>
    <row r="286">
      <c r="A286" s="2"/>
    </row>
    <row r="287">
      <c r="A287" s="2"/>
    </row>
    <row r="288">
      <c r="A288" s="2"/>
    </row>
    <row r="289">
      <c r="A289" s="2"/>
    </row>
    <row r="290">
      <c r="A290" s="2"/>
    </row>
    <row r="291">
      <c r="A291" s="2"/>
    </row>
    <row r="292">
      <c r="A292" s="2"/>
    </row>
    <row r="293">
      <c r="A293" s="2"/>
    </row>
    <row r="294">
      <c r="A294" s="2"/>
    </row>
    <row r="295">
      <c r="A295" s="2"/>
    </row>
    <row r="296">
      <c r="A296" s="2"/>
    </row>
    <row r="297">
      <c r="A297" s="2"/>
    </row>
    <row r="298">
      <c r="A298" s="2"/>
    </row>
    <row r="299">
      <c r="A299" s="2"/>
    </row>
    <row r="300">
      <c r="A300" s="2"/>
    </row>
    <row r="301">
      <c r="A301" s="2"/>
    </row>
    <row r="302">
      <c r="A302" s="2"/>
    </row>
    <row r="303">
      <c r="A303" s="2"/>
    </row>
    <row r="304">
      <c r="A304" s="2"/>
    </row>
    <row r="305">
      <c r="A305" s="2"/>
    </row>
    <row r="306">
      <c r="A306" s="2"/>
    </row>
    <row r="307">
      <c r="A307" s="2"/>
    </row>
    <row r="308">
      <c r="A308" s="2"/>
    </row>
    <row r="309">
      <c r="A309" s="2"/>
    </row>
    <row r="310">
      <c r="A310" s="2"/>
    </row>
    <row r="311">
      <c r="A311" s="2"/>
    </row>
    <row r="312">
      <c r="A312" s="2"/>
    </row>
    <row r="313">
      <c r="A313" s="2"/>
    </row>
    <row r="314">
      <c r="A314" s="2"/>
    </row>
    <row r="315">
      <c r="A315" s="2"/>
    </row>
    <row r="316">
      <c r="A316" s="2"/>
    </row>
    <row r="317">
      <c r="A317" s="2"/>
    </row>
    <row r="318">
      <c r="A318" s="2"/>
    </row>
    <row r="319">
      <c r="A319" s="2"/>
    </row>
    <row r="320">
      <c r="A320" s="2"/>
    </row>
    <row r="321">
      <c r="A321" s="2"/>
    </row>
    <row r="322">
      <c r="A322" s="2"/>
    </row>
    <row r="323">
      <c r="A323" s="2"/>
    </row>
    <row r="324">
      <c r="A324" s="2"/>
    </row>
    <row r="325">
      <c r="A325" s="2"/>
    </row>
    <row r="326">
      <c r="A326" s="2"/>
    </row>
    <row r="327">
      <c r="A327" s="2"/>
    </row>
    <row r="328">
      <c r="A328" s="2"/>
    </row>
    <row r="329">
      <c r="A329" s="2"/>
    </row>
    <row r="330">
      <c r="A330" s="2"/>
    </row>
    <row r="331">
      <c r="A331" s="2"/>
    </row>
    <row r="332">
      <c r="A332" s="2"/>
    </row>
    <row r="333">
      <c r="A333" s="2"/>
    </row>
    <row r="334">
      <c r="A334" s="2"/>
    </row>
    <row r="335">
      <c r="A335" s="2"/>
    </row>
    <row r="336">
      <c r="A336" s="2"/>
    </row>
    <row r="337">
      <c r="A337" s="2"/>
    </row>
  </sheetData>
  <conditionalFormatting sqref="F1:I281">
    <cfRule type="expression" dxfId="0" priority="1">
      <formula>F1=$C1</formula>
    </cfRule>
  </conditionalFormatting>
  <conditionalFormatting sqref="F2:I1000">
    <cfRule type="notContainsBlanks" dxfId="1" priority="2">
      <formula>LEN(TRIM(F2))&gt;0</formula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63"/>
    <col customWidth="1" min="4" max="4" width="13.38"/>
    <col customWidth="1" min="7" max="7" width="18.13"/>
  </cols>
  <sheetData>
    <row r="1">
      <c r="B1" s="9" t="s">
        <v>5</v>
      </c>
      <c r="C1" s="9" t="s">
        <v>24</v>
      </c>
      <c r="D1" s="9" t="s">
        <v>7</v>
      </c>
      <c r="E1" s="9" t="s">
        <v>8</v>
      </c>
      <c r="G1" s="10"/>
      <c r="H1" s="11" t="s">
        <v>25</v>
      </c>
      <c r="I1" s="11" t="s">
        <v>26</v>
      </c>
      <c r="J1" s="11" t="s">
        <v>27</v>
      </c>
      <c r="K1" s="12" t="s">
        <v>28</v>
      </c>
    </row>
    <row r="2">
      <c r="A2" s="13" t="s">
        <v>29</v>
      </c>
      <c r="B2" s="14">
        <f>SUMPRODUCT(--(Dados!C:C=Dados!F:F), --(Dados!F:F&lt;&gt;""))</f>
        <v>191</v>
      </c>
      <c r="C2" s="14">
        <f>SUMPRODUCT(--(Dados!C:C=Dados!G:G), --(Dados!G:G&lt;&gt;""))</f>
        <v>182</v>
      </c>
      <c r="D2" s="14">
        <f>SUMPRODUCT(--(Dados!C:C=Dados!H:H), --(Dados!H:H&lt;&gt;""))</f>
        <v>186</v>
      </c>
      <c r="E2" s="14">
        <f>SUMPRODUCT(--(Dados!C:C=Dados!I:I), --(Dados!I:I&lt;&gt;""))</f>
        <v>190</v>
      </c>
      <c r="G2" s="15" t="s">
        <v>30</v>
      </c>
      <c r="H2" s="16">
        <f>SUM(Dados!J:J)</f>
        <v>11</v>
      </c>
      <c r="I2" s="16">
        <f>SUM(Dados!K:K)</f>
        <v>45</v>
      </c>
      <c r="J2" s="16">
        <f>SUM(Dados!L:L)</f>
        <v>10</v>
      </c>
      <c r="K2" s="17">
        <f>SUM(Dados!M:M)</f>
        <v>11</v>
      </c>
    </row>
    <row r="3">
      <c r="A3" s="18" t="s">
        <v>31</v>
      </c>
      <c r="B3" s="19">
        <f>SUMPRODUCT(--(Dados!C:C&lt;&gt;Dados!F:F), --(Dados!F:F&lt;&gt;""))</f>
        <v>17</v>
      </c>
      <c r="C3" s="19">
        <f>SUMPRODUCT(--(Dados!C:C&lt;&gt;Dados!G:G), --(Dados!G:G&lt;&gt;""))</f>
        <v>26</v>
      </c>
      <c r="D3" s="19">
        <f>SUMPRODUCT(--(Dados!C:C&lt;&gt;Dados!H:H), --(Dados!H:H&lt;&gt;""))</f>
        <v>22</v>
      </c>
      <c r="E3" s="19">
        <f>SUMPRODUCT(--(Dados!C:C&lt;&gt;Dados!I:I), --(Dados!I:I&lt;&gt;""))</f>
        <v>18</v>
      </c>
    </row>
    <row r="4">
      <c r="A4" s="1" t="s">
        <v>30</v>
      </c>
      <c r="B4" s="20">
        <f t="shared" ref="B4:E4" si="1">SUM(B2:B3)</f>
        <v>208</v>
      </c>
      <c r="C4" s="20">
        <f t="shared" si="1"/>
        <v>208</v>
      </c>
      <c r="D4" s="20">
        <f t="shared" si="1"/>
        <v>208</v>
      </c>
      <c r="E4" s="20">
        <f t="shared" si="1"/>
        <v>208</v>
      </c>
      <c r="G4" s="21" t="s">
        <v>32</v>
      </c>
      <c r="H4" s="11" t="s">
        <v>33</v>
      </c>
      <c r="I4" s="11" t="s">
        <v>34</v>
      </c>
      <c r="J4" s="12" t="s">
        <v>35</v>
      </c>
    </row>
    <row r="5">
      <c r="A5" s="22" t="s">
        <v>36</v>
      </c>
      <c r="B5" s="23">
        <f t="shared" ref="B5:E5" si="2">B2/B4</f>
        <v>0.9182692308</v>
      </c>
      <c r="C5" s="23">
        <f t="shared" si="2"/>
        <v>0.875</v>
      </c>
      <c r="D5" s="23">
        <f t="shared" si="2"/>
        <v>0.8942307692</v>
      </c>
      <c r="E5" s="23">
        <f t="shared" si="2"/>
        <v>0.9134615385</v>
      </c>
      <c r="G5" s="24" t="s">
        <v>37</v>
      </c>
      <c r="H5" s="25">
        <f>B14+B17</f>
        <v>39</v>
      </c>
      <c r="I5" s="26">
        <f>B15+B18</f>
        <v>51</v>
      </c>
      <c r="J5" s="27">
        <f>B16+B19</f>
        <v>35</v>
      </c>
    </row>
    <row r="6">
      <c r="A6" s="1" t="s">
        <v>38</v>
      </c>
      <c r="B6" s="20">
        <f>IFERROR(__xludf.DUMMYFUNCTION("QUERY(Dados!C:M, ""select count(C) where C = F and J = 1 and F is not null label count(C) ''"")"),8.0)</f>
        <v>8</v>
      </c>
      <c r="C6" s="20">
        <f>IFERROR(__xludf.DUMMYFUNCTION("IFERROR(QUERY(Dados!C:M, ""select count(C) where C = G and J = 1 and G is not null label count(C) ''""),0)"),4.0)</f>
        <v>4</v>
      </c>
      <c r="D6" s="20">
        <f>IFERROR(__xludf.DUMMYFUNCTION("IFERROR(QUERY(Dados!C:M, ""select count(C) where C = H and J = 1 and H is not null label count(C) ''""),0)"),6.0)</f>
        <v>6</v>
      </c>
      <c r="E6" s="20">
        <f>IFERROR(__xludf.DUMMYFUNCTION("IFERROR(QUERY(Dados!C:M, ""select count(C) where C = I and J = 1 and I is not null label count(C) ''""),0)"),6.0)</f>
        <v>6</v>
      </c>
      <c r="G6" s="24" t="s">
        <v>39</v>
      </c>
      <c r="H6" s="25">
        <f>C14+C17</f>
        <v>37</v>
      </c>
      <c r="I6" s="25">
        <f>C15+C18</f>
        <v>49</v>
      </c>
      <c r="J6" s="27">
        <f>D16+D19</f>
        <v>35</v>
      </c>
    </row>
    <row r="7">
      <c r="A7" s="1" t="s">
        <v>40</v>
      </c>
      <c r="B7" s="20">
        <f>IFERROR(__xludf.DUMMYFUNCTION("QUERY(Dados!C:M, ""select count(C) where C = F and K = 1 and F is not null label count(C) ''"")"),44.0)</f>
        <v>44</v>
      </c>
      <c r="C7" s="20">
        <f>IFERROR(__xludf.DUMMYFUNCTION("IFERROR(QUERY(Dados!C:M, ""select count(C) where C = G and K = 1 and G is not null label count(C) ''""),0)"),40.0)</f>
        <v>40</v>
      </c>
      <c r="D7" s="20">
        <f>IFERROR(__xludf.DUMMYFUNCTION("IFERROR(QUERY(Dados!C:M, ""select count(C) where C = H and K = 1 and H is not null label count(C) ''""),0)"),40.0)</f>
        <v>40</v>
      </c>
      <c r="E7" s="20">
        <f>IFERROR(__xludf.DUMMYFUNCTION("IFERROR(QUERY(Dados!C:M, ""select count(C) where C = I and K = 1 and I is not null label count(C) ''""),0)"),43.0)</f>
        <v>43</v>
      </c>
      <c r="G7" s="24" t="s">
        <v>41</v>
      </c>
      <c r="H7" s="25">
        <f>D14+D17</f>
        <v>39</v>
      </c>
      <c r="I7" s="25">
        <f>D15+D18</f>
        <v>50</v>
      </c>
      <c r="J7" s="27">
        <f>D16+D19</f>
        <v>35</v>
      </c>
    </row>
    <row r="8">
      <c r="A8" s="1" t="s">
        <v>42</v>
      </c>
      <c r="B8" s="20">
        <f>IFERROR(__xludf.DUMMYFUNCTION("QUERY(Dados!C:M, ""select count(C) where C = F and L = 1 and F is not null label count(C) ''"")"),10.0)</f>
        <v>10</v>
      </c>
      <c r="C8" s="20">
        <f>IFERROR(__xludf.DUMMYFUNCTION("IFERROR(QUERY(Dados!C:M, ""select count(C) where C = G and L = 1 and G is not null label count(C) ''""),0)"),9.0)</f>
        <v>9</v>
      </c>
      <c r="D8" s="20">
        <f>IFERROR(__xludf.DUMMYFUNCTION("IFERROR(QUERY(Dados!C:M, ""select count(C) where C = H and L = 1 and H is not null label count(C) ''""),0)"),9.0)</f>
        <v>9</v>
      </c>
      <c r="E8" s="20">
        <f>IFERROR(__xludf.DUMMYFUNCTION("IFERROR(QUERY(Dados!C:M, ""select count(C) where C = I and L = 1 and I is not null label count(C) ''""),0)"),9.0)</f>
        <v>9</v>
      </c>
      <c r="G8" s="15" t="s">
        <v>43</v>
      </c>
      <c r="H8" s="28">
        <f>E14+E17</f>
        <v>40</v>
      </c>
      <c r="I8" s="28">
        <f>E15+E18</f>
        <v>51</v>
      </c>
      <c r="J8" s="29">
        <f>E16+E19</f>
        <v>36</v>
      </c>
    </row>
    <row r="9">
      <c r="A9" s="1" t="s">
        <v>44</v>
      </c>
      <c r="B9" s="20">
        <f>IFERROR(__xludf.DUMMYFUNCTION("QUERY(Dados!C:M, ""select count(C) where C = F and M = 1 and F is not null label count(C) ''"")"),11.0)</f>
        <v>11</v>
      </c>
      <c r="C9" s="20">
        <f>IFERROR(__xludf.DUMMYFUNCTION("IFERROR(QUERY(Dados!C:M, ""select count(C) where C = G and M = 1 and G is not null label count(C) ''""),0)"),11.0)</f>
        <v>11</v>
      </c>
      <c r="D9" s="20">
        <f>IFERROR(__xludf.DUMMYFUNCTION("IFERROR(QUERY(Dados!C:M, ""select count(C) where C = H and M = 1 and H is not null label count(C) ''""),0)"),10.0)</f>
        <v>10</v>
      </c>
      <c r="E9" s="20">
        <f>IFERROR(__xludf.DUMMYFUNCTION("IFERROR(QUERY(Dados!C:M, ""select count(C) where C = I and M = 1 and I is not null label count(C) ''""),0)"),11.0)</f>
        <v>11</v>
      </c>
    </row>
    <row r="10">
      <c r="A10" s="1" t="s">
        <v>45</v>
      </c>
      <c r="B10" s="30">
        <f>B6/H2</f>
        <v>0.7272727273</v>
      </c>
      <c r="C10" s="30">
        <f>C6/H2</f>
        <v>0.3636363636</v>
      </c>
      <c r="D10" s="30">
        <f>D6/H2</f>
        <v>0.5454545455</v>
      </c>
      <c r="E10" s="30">
        <f>E6/H2</f>
        <v>0.5454545455</v>
      </c>
    </row>
    <row r="11">
      <c r="A11" s="1" t="s">
        <v>46</v>
      </c>
      <c r="B11" s="30">
        <f>B7/I2</f>
        <v>0.9777777778</v>
      </c>
      <c r="C11" s="30">
        <f>C7/I2</f>
        <v>0.8888888889</v>
      </c>
      <c r="D11" s="30">
        <f>D7/I2</f>
        <v>0.8888888889</v>
      </c>
      <c r="E11" s="30">
        <f>E7/I2</f>
        <v>0.9555555556</v>
      </c>
      <c r="G11" s="31" t="s">
        <v>47</v>
      </c>
      <c r="H11" s="32">
        <v>2019.0</v>
      </c>
      <c r="I11" s="32">
        <v>2022.0</v>
      </c>
      <c r="J11" s="32">
        <v>2023.0</v>
      </c>
      <c r="K11" s="33">
        <v>2024.0</v>
      </c>
    </row>
    <row r="12">
      <c r="A12" s="1" t="s">
        <v>48</v>
      </c>
      <c r="B12" s="30">
        <f>B8/J2</f>
        <v>1</v>
      </c>
      <c r="C12" s="30">
        <f>C8/J2</f>
        <v>0.9</v>
      </c>
      <c r="D12" s="30">
        <f>D8/J2</f>
        <v>0.9</v>
      </c>
      <c r="E12" s="30">
        <f>E8/J2</f>
        <v>0.9</v>
      </c>
      <c r="G12" s="34" t="s">
        <v>37</v>
      </c>
      <c r="H12" s="35">
        <f>SUM(B14:B16)</f>
        <v>62</v>
      </c>
      <c r="I12" s="36">
        <f>SUM(B17:B19)</f>
        <v>63</v>
      </c>
      <c r="J12" s="36">
        <f>SUM(B20:B22)</f>
        <v>66</v>
      </c>
      <c r="K12" s="37"/>
    </row>
    <row r="13">
      <c r="A13" s="1" t="s">
        <v>49</v>
      </c>
      <c r="B13" s="30">
        <f>B9/K2</f>
        <v>1</v>
      </c>
      <c r="C13" s="30">
        <f>C9/K2</f>
        <v>1</v>
      </c>
      <c r="D13" s="30">
        <f>D9/K2</f>
        <v>0.9090909091</v>
      </c>
      <c r="E13" s="30">
        <f>E9/K2</f>
        <v>1</v>
      </c>
      <c r="G13" s="38" t="s">
        <v>39</v>
      </c>
      <c r="H13" s="20">
        <f>SUM(C14:C16)</f>
        <v>59</v>
      </c>
      <c r="I13" s="20">
        <f>sum(C17:C19)</f>
        <v>61</v>
      </c>
      <c r="J13" s="20">
        <f>SUM(C20:C22)</f>
        <v>63</v>
      </c>
      <c r="K13" s="39"/>
    </row>
    <row r="14">
      <c r="A14" s="40" t="s">
        <v>50</v>
      </c>
      <c r="B14" s="41">
        <f>SUMPRODUCT(--(Dados!C2:C21=Dados!F2:F21), --(Dados!F2:F21&lt;&gt;""))</f>
        <v>19</v>
      </c>
      <c r="C14" s="41">
        <f>SUMPRODUCT(--(Dados!C2:C21=Dados!G2:G21), --(Dados!G2:G21&lt;&gt;""))</f>
        <v>17</v>
      </c>
      <c r="D14" s="42">
        <f>SUMPRODUCT(--(Dados!C2:C21=Dados!H2:H21), --(Dados!H2:H21&lt;&gt;""))</f>
        <v>20</v>
      </c>
      <c r="E14" s="43">
        <f>SUMPRODUCT(--(Dados!C2:C21=Dados!I2:I21), --(Dados!I2:I21&lt;&gt;""))</f>
        <v>20</v>
      </c>
      <c r="G14" s="38" t="s">
        <v>41</v>
      </c>
      <c r="H14" s="20">
        <f>SUM(D14:D16)</f>
        <v>61</v>
      </c>
      <c r="I14" s="14">
        <f>sum(D17:D19)</f>
        <v>63</v>
      </c>
      <c r="J14" s="20">
        <f>SUM(D20:D22)</f>
        <v>62</v>
      </c>
      <c r="K14" s="39"/>
    </row>
    <row r="15">
      <c r="A15" s="44" t="s">
        <v>51</v>
      </c>
      <c r="B15" s="14">
        <f>SUMPRODUCT(--(Dados!C22:C51=Dados!F22:F51), --(Dados!F22:F51&lt;&gt;""))</f>
        <v>26</v>
      </c>
      <c r="C15" s="45">
        <f>SUMPRODUCT(--(Dados!C22:C51=Dados!G22:G51), --(Dados!G22:G51&lt;&gt;""))</f>
        <v>25</v>
      </c>
      <c r="D15" s="45">
        <f>SUMPRODUCT(--(Dados!C22:C51=Dados!H22:H51), --(Dados!H22:H51&lt;&gt;""))</f>
        <v>25</v>
      </c>
      <c r="E15" s="46">
        <f>SUMPRODUCT(--(Dados!C22:C51=Dados!I22:I51), --(Dados!I22:I51&lt;&gt;""))</f>
        <v>26</v>
      </c>
      <c r="G15" s="47" t="s">
        <v>43</v>
      </c>
      <c r="H15" s="48">
        <f>SUM(E14:E16)</f>
        <v>64</v>
      </c>
      <c r="I15" s="48">
        <f>sum(E17:E19)</f>
        <v>63</v>
      </c>
      <c r="J15" s="49">
        <f>SUM(E20:E22)</f>
        <v>63</v>
      </c>
      <c r="K15" s="50"/>
    </row>
    <row r="16">
      <c r="A16" s="51" t="s">
        <v>52</v>
      </c>
      <c r="B16" s="52">
        <f>SUMPRODUCT(--(Dados!C52:C71=Dados!F52:F71), --(Dados!F52:F71&lt;&gt;""))</f>
        <v>17</v>
      </c>
      <c r="C16" s="52">
        <f>SUMPRODUCT(--(Dados!C4:C23=Dados!G4:G23), --(Dados!G4:G23&lt;&gt;""))</f>
        <v>17</v>
      </c>
      <c r="D16" s="52">
        <f>SUMPRODUCT(--(Dados!C52:C71=Dados!H52:H71), --(Dados!H52:H71&lt;&gt;""))</f>
        <v>16</v>
      </c>
      <c r="E16" s="53">
        <f>SUMPRODUCT(--(Dados!C52:C71=Dados!I52:I71), --(Dados!I52:I71&lt;&gt;""))</f>
        <v>18</v>
      </c>
      <c r="G16" s="54" t="s">
        <v>30</v>
      </c>
      <c r="H16" s="55">
        <f t="shared" ref="H16:K16" si="3">SUM(H12:H15)/(4*70-1)</f>
        <v>0.8817204301</v>
      </c>
      <c r="I16" s="55">
        <f t="shared" si="3"/>
        <v>0.8960573477</v>
      </c>
      <c r="J16" s="55">
        <f t="shared" si="3"/>
        <v>0.9103942652</v>
      </c>
      <c r="K16" s="56">
        <f t="shared" si="3"/>
        <v>0</v>
      </c>
    </row>
    <row r="17">
      <c r="A17" s="57" t="s">
        <v>53</v>
      </c>
      <c r="B17" s="42">
        <f>SUMPRODUCT(--(Dados!C72:C91=Dados!F72:F91), --(Dados!F72:F91&lt;&gt;""))</f>
        <v>20</v>
      </c>
      <c r="C17" s="42">
        <f>SUMPRODUCT(--(Dados!C72:C91=Dados!G72:G91), --(Dados!G72:G91&lt;&gt;""))</f>
        <v>20</v>
      </c>
      <c r="D17" s="58">
        <f>SUMPRODUCT(--(Dados!C72:C91=Dados!H72:H91), --(Dados!H72:H91&lt;&gt;""))</f>
        <v>19</v>
      </c>
      <c r="E17" s="43">
        <f>SUMPRODUCT(--(Dados!C72:C91=Dados!I72:I91), --(Dados!I72:I91&lt;&gt;""))</f>
        <v>20</v>
      </c>
      <c r="G17" s="59" t="s">
        <v>54</v>
      </c>
    </row>
    <row r="18">
      <c r="A18" s="60" t="s">
        <v>55</v>
      </c>
      <c r="B18" s="14">
        <f>SUMPRODUCT(--(Dados!C92:C121=Dados!F92:F121), --(Dados!F92:F121&lt;&gt;""))</f>
        <v>25</v>
      </c>
      <c r="C18" s="61">
        <f>SUMPRODUCT(--(Dados!C92:C121=Dados!G92:G121), --(Dados!G92:G121&lt;&gt;""))</f>
        <v>24</v>
      </c>
      <c r="D18" s="14">
        <f>SUMPRODUCT(--(Dados!C92:C121=Dados!H92:H121), --(Dados!H92:H121&lt;&gt;""))</f>
        <v>25</v>
      </c>
      <c r="E18" s="46">
        <f>SUMPRODUCT(--(Dados!C92:C121=Dados!I92:I121), --(Dados!I92:I121&lt;&gt;""))</f>
        <v>25</v>
      </c>
    </row>
    <row r="19">
      <c r="A19" s="60" t="s">
        <v>56</v>
      </c>
      <c r="B19" s="61">
        <f>SUMPRODUCT(--(Dados!C122:C141=Dados!F122:F141), --(Dados!F122:F141&lt;&gt;""))</f>
        <v>18</v>
      </c>
      <c r="C19" s="61">
        <f>SUMPRODUCT(--(Dados!C122:C141=Dados!G122:G141), --(Dados!G122:G141&lt;&gt;""))</f>
        <v>17</v>
      </c>
      <c r="D19" s="14">
        <f>SUMPRODUCT(--(Dados!C122:C141=Dados!H122:H141), --(Dados!H122:H141&lt;&gt;""))</f>
        <v>19</v>
      </c>
      <c r="E19" s="62">
        <f>SUMPRODUCT(--(Dados!C122:C141=Dados!I122:I141), --(Dados!I122:I141&lt;&gt;""))</f>
        <v>18</v>
      </c>
    </row>
    <row r="20">
      <c r="A20" s="40" t="s">
        <v>57</v>
      </c>
      <c r="B20" s="41">
        <f>SUMPRODUCT(--(Dados!C142:C161=Dados!F142:F161), --(Dados!F142:F161&lt;&gt;""))</f>
        <v>18</v>
      </c>
      <c r="C20" s="41">
        <f>SUMPRODUCT(--(Dados!C142:C161=Dados!G142:G161), --(Dados!G142:G161&lt;&gt;""))</f>
        <v>18</v>
      </c>
      <c r="D20" s="41">
        <f>SUMPRODUCT(--(Dados!C142:C161=Dados!H142:H161), --(Dados!H142:H161&lt;&gt;""))</f>
        <v>18</v>
      </c>
      <c r="E20" s="63">
        <f>SUMPRODUCT(--(Dados!C142:C161=Dados!I142:I161), --(Dados!I142:I161&lt;&gt;""))</f>
        <v>19</v>
      </c>
    </row>
    <row r="21">
      <c r="A21" s="44" t="s">
        <v>58</v>
      </c>
      <c r="B21" s="14">
        <f>SUMPRODUCT(--(Dados!C162:C191=Dados!F162:F191), --(Dados!F162:F191&lt;&gt;""))</f>
        <v>28</v>
      </c>
      <c r="C21" s="45">
        <f>SUMPRODUCT(--(Dados!C162:C191=Dados!G162:G191), --(Dados!G162:G191&lt;&gt;""))</f>
        <v>26</v>
      </c>
      <c r="D21" s="45">
        <f>SUMPRODUCT(--(Dados!C162:C191=Dados!H162:H191), --(Dados!H162:H191&lt;&gt;""))</f>
        <v>25</v>
      </c>
      <c r="E21" s="64">
        <f>SUMPRODUCT(--(Dados!C162:C191=Dados!I162:I191), --(Dados!I162:I191&lt;&gt;""))</f>
        <v>27</v>
      </c>
      <c r="G21" s="31" t="s">
        <v>47</v>
      </c>
      <c r="H21" s="65"/>
      <c r="I21" s="32">
        <v>2019.0</v>
      </c>
      <c r="J21" s="66"/>
      <c r="K21" s="65"/>
      <c r="L21" s="32">
        <v>2022.0</v>
      </c>
      <c r="M21" s="66"/>
      <c r="N21" s="65"/>
      <c r="O21" s="32">
        <v>2023.0</v>
      </c>
      <c r="P21" s="66"/>
      <c r="Q21" s="65"/>
      <c r="R21" s="32">
        <v>2024.0</v>
      </c>
      <c r="S21" s="66"/>
    </row>
    <row r="22">
      <c r="A22" s="51" t="s">
        <v>59</v>
      </c>
      <c r="B22" s="67">
        <f>SUMPRODUCT(--(Dados!C191:C210=Dados!F191:F210), --(Dados!F191:F210&lt;&gt;""))</f>
        <v>20</v>
      </c>
      <c r="C22" s="52">
        <f>SUMPRODUCT(--(Dados!C191:C210=Dados!G191:G210), --(Dados!G191:G210&lt;&gt;""))</f>
        <v>19</v>
      </c>
      <c r="D22" s="52">
        <f>SUMPRODUCT(--(Dados!C191:C210=Dados!H191:H210), --(Dados!H191:H210&lt;&gt;""))</f>
        <v>19</v>
      </c>
      <c r="E22" s="68">
        <f>SUMPRODUCT(--(Dados!C191:C210=Dados!I191:I210), --(Dados!I191:I210&lt;&gt;""))</f>
        <v>17</v>
      </c>
      <c r="G22" s="69" t="s">
        <v>3</v>
      </c>
      <c r="H22" s="70" t="s">
        <v>33</v>
      </c>
      <c r="I22" s="70" t="s">
        <v>60</v>
      </c>
      <c r="J22" s="70" t="s">
        <v>61</v>
      </c>
      <c r="K22" s="70" t="s">
        <v>33</v>
      </c>
      <c r="L22" s="70" t="s">
        <v>60</v>
      </c>
      <c r="M22" s="70" t="s">
        <v>61</v>
      </c>
      <c r="N22" s="70" t="s">
        <v>33</v>
      </c>
      <c r="O22" s="70" t="s">
        <v>60</v>
      </c>
      <c r="P22" s="70" t="s">
        <v>61</v>
      </c>
      <c r="Q22" s="70" t="s">
        <v>33</v>
      </c>
      <c r="R22" s="70" t="s">
        <v>60</v>
      </c>
      <c r="S22" s="70" t="s">
        <v>61</v>
      </c>
    </row>
    <row r="23">
      <c r="A23" s="60" t="s">
        <v>62</v>
      </c>
      <c r="B23" s="61"/>
      <c r="C23" s="61"/>
      <c r="D23" s="61"/>
      <c r="E23" s="62"/>
      <c r="G23" s="69" t="s">
        <v>37</v>
      </c>
      <c r="H23" s="71"/>
      <c r="J23" s="72"/>
      <c r="K23" s="71"/>
      <c r="M23" s="72"/>
      <c r="N23" s="71"/>
      <c r="P23" s="72"/>
      <c r="Q23" s="71"/>
      <c r="S23" s="72"/>
    </row>
    <row r="24">
      <c r="A24" s="60" t="s">
        <v>63</v>
      </c>
      <c r="B24" s="61"/>
      <c r="C24" s="61"/>
      <c r="D24" s="61"/>
      <c r="E24" s="62"/>
      <c r="G24" s="69" t="s">
        <v>39</v>
      </c>
      <c r="H24" s="71"/>
      <c r="J24" s="72"/>
      <c r="K24" s="71"/>
      <c r="M24" s="72"/>
      <c r="N24" s="71"/>
      <c r="P24" s="72"/>
      <c r="Q24" s="71"/>
      <c r="S24" s="72"/>
    </row>
    <row r="25">
      <c r="A25" s="73" t="s">
        <v>64</v>
      </c>
      <c r="B25" s="74"/>
      <c r="C25" s="74"/>
      <c r="D25" s="74"/>
      <c r="E25" s="75"/>
      <c r="G25" s="69" t="s">
        <v>41</v>
      </c>
      <c r="H25" s="71"/>
      <c r="J25" s="72"/>
      <c r="K25" s="71"/>
      <c r="M25" s="72"/>
      <c r="N25" s="71"/>
      <c r="P25" s="72"/>
      <c r="Q25" s="71"/>
      <c r="S25" s="72"/>
    </row>
    <row r="26">
      <c r="G26" s="69" t="s">
        <v>43</v>
      </c>
      <c r="H26" s="71"/>
      <c r="J26" s="72"/>
      <c r="K26" s="71"/>
      <c r="M26" s="72"/>
      <c r="N26" s="71"/>
      <c r="P26" s="72"/>
      <c r="Q26" s="71"/>
      <c r="S26" s="72"/>
    </row>
    <row r="27">
      <c r="G27" s="70" t="s">
        <v>30</v>
      </c>
      <c r="H27" s="76"/>
      <c r="I27" s="77"/>
      <c r="J27" s="78"/>
      <c r="K27" s="76"/>
      <c r="L27" s="79"/>
      <c r="M27" s="80"/>
      <c r="N27" s="81"/>
      <c r="O27" s="79"/>
      <c r="P27" s="80"/>
      <c r="Q27" s="81"/>
      <c r="R27" s="79"/>
      <c r="S27" s="80"/>
    </row>
  </sheetData>
  <hyperlinks>
    <hyperlink r:id="rId1" ref="G17"/>
  </hyperlin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38"/>
    <col customWidth="1" min="5" max="5" width="23.38"/>
  </cols>
  <sheetData>
    <row r="1">
      <c r="A1" s="1">
        <v>2019.0</v>
      </c>
      <c r="E1" s="1">
        <v>2022.0</v>
      </c>
    </row>
    <row r="2">
      <c r="A2" s="1" t="s">
        <v>65</v>
      </c>
      <c r="B2" s="1" t="s">
        <v>66</v>
      </c>
      <c r="C2" s="1" t="s">
        <v>67</v>
      </c>
      <c r="E2" s="1" t="s">
        <v>65</v>
      </c>
      <c r="F2" s="1" t="s">
        <v>66</v>
      </c>
      <c r="G2" s="1" t="s">
        <v>67</v>
      </c>
    </row>
    <row r="3">
      <c r="A3" s="1" t="s">
        <v>33</v>
      </c>
      <c r="B3" s="1">
        <v>8.52</v>
      </c>
      <c r="C3" s="1">
        <v>3.93</v>
      </c>
      <c r="E3" s="1" t="s">
        <v>33</v>
      </c>
      <c r="F3" s="1">
        <v>8.36</v>
      </c>
      <c r="G3" s="1">
        <v>4.42</v>
      </c>
    </row>
    <row r="4">
      <c r="A4" s="1" t="s">
        <v>60</v>
      </c>
      <c r="B4" s="1">
        <v>13.54</v>
      </c>
      <c r="C4" s="1">
        <v>3.95</v>
      </c>
      <c r="E4" s="1" t="s">
        <v>60</v>
      </c>
      <c r="F4" s="1">
        <v>14.0</v>
      </c>
      <c r="G4" s="1">
        <v>3.97</v>
      </c>
    </row>
    <row r="5">
      <c r="A5" s="1" t="s">
        <v>61</v>
      </c>
      <c r="B5" s="1">
        <v>6.61</v>
      </c>
      <c r="C5" s="1">
        <v>2.25</v>
      </c>
      <c r="E5" s="1" t="s">
        <v>61</v>
      </c>
      <c r="F5" s="1">
        <v>6.58</v>
      </c>
      <c r="G5" s="1">
        <v>2.48</v>
      </c>
    </row>
    <row r="6">
      <c r="A6" s="1" t="s">
        <v>68</v>
      </c>
      <c r="B6" s="1">
        <v>28.67</v>
      </c>
      <c r="C6" s="1">
        <v>8.35</v>
      </c>
      <c r="E6" s="1" t="s">
        <v>68</v>
      </c>
      <c r="F6" s="1">
        <v>28.94</v>
      </c>
      <c r="G6" s="1">
        <v>8.81</v>
      </c>
    </row>
    <row r="7">
      <c r="B7" s="30">
        <f>B6/70</f>
        <v>0.4095714286</v>
      </c>
      <c r="F7" s="30">
        <f>F6/70</f>
        <v>0.4134285714</v>
      </c>
    </row>
    <row r="11">
      <c r="A11" s="1">
        <v>2023.0</v>
      </c>
      <c r="E11" s="1">
        <v>2024.0</v>
      </c>
    </row>
    <row r="12">
      <c r="A12" s="1" t="s">
        <v>65</v>
      </c>
      <c r="B12" s="1" t="s">
        <v>66</v>
      </c>
      <c r="C12" s="1" t="s">
        <v>67</v>
      </c>
      <c r="E12" s="1" t="s">
        <v>65</v>
      </c>
      <c r="F12" s="1" t="s">
        <v>66</v>
      </c>
      <c r="G12" s="1" t="s">
        <v>67</v>
      </c>
    </row>
    <row r="13">
      <c r="A13" s="1" t="s">
        <v>33</v>
      </c>
      <c r="B13" s="1">
        <v>10.3</v>
      </c>
      <c r="C13" s="1">
        <v>4.02</v>
      </c>
      <c r="E13" s="1" t="s">
        <v>33</v>
      </c>
      <c r="F13" s="1">
        <v>13.5</v>
      </c>
      <c r="G13" s="1">
        <v>3.71</v>
      </c>
    </row>
    <row r="14">
      <c r="A14" s="1" t="s">
        <v>60</v>
      </c>
      <c r="B14" s="1">
        <v>13.55</v>
      </c>
      <c r="C14" s="1">
        <v>4.22</v>
      </c>
      <c r="E14" s="1" t="s">
        <v>60</v>
      </c>
      <c r="F14" s="1">
        <v>15.0</v>
      </c>
      <c r="G14" s="1">
        <v>4.18</v>
      </c>
    </row>
    <row r="15">
      <c r="A15" s="1" t="s">
        <v>61</v>
      </c>
      <c r="B15" s="1">
        <v>7.81</v>
      </c>
      <c r="C15" s="1">
        <v>2.92</v>
      </c>
      <c r="E15" s="1" t="s">
        <v>61</v>
      </c>
      <c r="F15" s="1">
        <v>9.0</v>
      </c>
      <c r="G15" s="1">
        <v>2.6</v>
      </c>
    </row>
    <row r="16">
      <c r="A16" s="1" t="s">
        <v>68</v>
      </c>
      <c r="B16" s="1">
        <v>31.66</v>
      </c>
      <c r="C16" s="1">
        <v>9.39</v>
      </c>
      <c r="E16" s="1" t="s">
        <v>68</v>
      </c>
      <c r="F16" s="1">
        <v>37.5</v>
      </c>
      <c r="G16" s="1">
        <v>8.67</v>
      </c>
    </row>
    <row r="17">
      <c r="B17" s="30">
        <f>B16/70</f>
        <v>0.4522857143</v>
      </c>
      <c r="F17" s="30">
        <f>F16/70</f>
        <v>0.5357142857</v>
      </c>
    </row>
  </sheetData>
  <drawing r:id="rId1"/>
</worksheet>
</file>